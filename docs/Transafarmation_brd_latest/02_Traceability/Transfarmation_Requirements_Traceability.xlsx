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x" sheetId="1" state="visible" r:id="rId3"/>
    <sheet name="Summary" sheetId="2" state="visible" r:id="rId4"/>
    <sheet name="Legend" sheetId="3" state="visible" r:id="rId5"/>
  </sheets>
  <definedNames>
    <definedName function="false" hidden="true" localSheetId="0" name="_xlnm._FilterDatabase" vbProcedure="false">Matrix!$A$1:$G$334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<sst xmlns="http://schemas.openxmlformats.org/spreadsheetml/2006/main" count="2400" uniqueCount="861">
  <si>
    <t xml:space="preserve">ID</t>
  </si>
  <si>
    <t xml:space="preserve">Requirement (short)</t>
  </si>
  <si>
    <t xml:space="preserve">Full requirement</t>
  </si>
  <si>
    <t xml:space="preserve">Module</t>
  </si>
  <si>
    <t xml:space="preserve">Objective</t>
  </si>
  <si>
    <t xml:space="preserve">Priority</t>
  </si>
  <si>
    <t xml:space="preserve">Phase</t>
  </si>
  <si>
    <t xml:space="preserve">FR1.1</t>
  </si>
  <si>
    <t xml:space="preserve">Farmer can drop a GPS pin on their land via smartphone to register the plot</t>
  </si>
  <si>
    <t xml:space="preserve">Module 1: Feasibility &amp; Offtake</t>
  </si>
  <si>
    <t xml:space="preserve">BO1</t>
  </si>
  <si>
    <t xml:space="preserve">Must</t>
  </si>
  <si>
    <t xml:space="preserve">1</t>
  </si>
  <si>
    <t xml:space="preserve">FR1.2</t>
  </si>
  <si>
    <t xml:space="preserve">System auto-detects soil type, historical rainfall patterns</t>
  </si>
  <si>
    <t xml:space="preserve">System auto-detects soil type, historical rainfall patterns, and acreage from the GPS location, integrating with TIMB's biometric mapping standards</t>
  </si>
  <si>
    <t xml:space="preserve">FR1.3</t>
  </si>
  <si>
    <t xml:space="preserve">System auto-generates a 24-month projected cash-flow statement</t>
  </si>
  <si>
    <t xml:space="preserve">System auto-generates a 24-month projected cash-flow statement, input requirement schedule, and projected yield model without requiring an extension officer or bank clerk</t>
  </si>
  <si>
    <t xml:space="preserve">FR1.4</t>
  </si>
  <si>
    <t xml:space="preserve">Farmer is presented with pre-vetted, standardized offtake contract templates from licensed contractors</t>
  </si>
  <si>
    <t xml:space="preserve">BO2</t>
  </si>
  <si>
    <t xml:space="preserve">3</t>
  </si>
  <si>
    <t xml:space="preserve">FR1.5</t>
  </si>
  <si>
    <t xml:space="preserve">Every contract clause (minimum input packages, grading standards) is translated into plain Shona and Ndebele on screen</t>
  </si>
  <si>
    <t xml:space="preserve">FR1.6</t>
  </si>
  <si>
    <t xml:space="preserve">System generates a cryptographically secured digital contract upon farmer sign-off</t>
  </si>
  <si>
    <t xml:space="preserve">FR1.7</t>
  </si>
  <si>
    <t xml:space="preserve">System maintains a live credit-scoring ledger from real-time input-utilization tracking</t>
  </si>
  <si>
    <t xml:space="preserve">System maintains a live credit-scoring ledger from real-time input-utilization tracking, viewable by financiers to reduce physical verification costs</t>
  </si>
  <si>
    <t xml:space="preserve">BO5</t>
  </si>
  <si>
    <t xml:space="preserve">FR1.8</t>
  </si>
  <si>
    <t xml:space="preserve">What-if tools let the farmer change acreage</t>
  </si>
  <si>
    <t xml:space="preserve">What-if tools let the farmer change acreage, input package, expected price, and yield and see the effect on cash flow and break-even before committing</t>
  </si>
  <si>
    <t xml:space="preserve">Should</t>
  </si>
  <si>
    <t xml:space="preserve">FR1.9</t>
  </si>
  <si>
    <t xml:space="preserve">The feasibility report explains its assumptions in plain language in English</t>
  </si>
  <si>
    <t xml:space="preserve">The feasibility report explains its assumptions in plain language in English, Shona, and Ndebele, shows a range rather than a single figure, and states the main risks and the break-even price</t>
  </si>
  <si>
    <t xml:space="preserve">FR1.10</t>
  </si>
  <si>
    <t xml:space="preserve">Soil, rainfall, price, and cost benchmarks carry a source and date</t>
  </si>
  <si>
    <t xml:space="preserve">Soil, rainfall, price, and cost benchmarks carry a source and date; the farmer can override any figure, and each override is logged</t>
  </si>
  <si>
    <t xml:space="preserve">FR1.11</t>
  </si>
  <si>
    <t xml:space="preserve">The report can be printed, exported as PDF</t>
  </si>
  <si>
    <t xml:space="preserve">The report can be printed, exported as PDF, or shared with a lender through a consent link, and is stamped with its date and assumption version</t>
  </si>
  <si>
    <t xml:space="preserve">FR1.12</t>
  </si>
  <si>
    <t xml:space="preserve">Contract comparison shows offers from several contractors side by side on input cost</t>
  </si>
  <si>
    <t xml:space="preserve">Contract comparison shows offers from several contractors side by side on input cost, deductions, grading basis, interest, and repayment terms, and flags unusual clauses</t>
  </si>
  <si>
    <t xml:space="preserve">FR1.13</t>
  </si>
  <si>
    <t xml:space="preserve">Any clause can be explained on request, and the farmer can ask a human advisor to review a contract before signing</t>
  </si>
  <si>
    <t xml:space="preserve">FR1.14</t>
  </si>
  <si>
    <t xml:space="preserve">Contract lifecycle tracking covers signature</t>
  </si>
  <si>
    <t xml:space="preserve">Contract lifecycle tracking covers signature, amendments, renewal, termination, and disputes, with reminders of each party's obligations</t>
  </si>
  <si>
    <t xml:space="preserve">FR1.15</t>
  </si>
  <si>
    <t xml:space="preserve">An input package and repayment schedule calculator tied to the contract feeds the debt view (FR8.7)</t>
  </si>
  <si>
    <t xml:space="preserve">FR1.16</t>
  </si>
  <si>
    <t xml:space="preserve">A bankable-readiness checklist shows the farmer what records and plan they still need before applying for credit</t>
  </si>
  <si>
    <t xml:space="preserve">FR1.17</t>
  </si>
  <si>
    <t xml:space="preserve">Yield and cost models are versioned and validated against pilot outcomes, with results fed back to improve them</t>
  </si>
  <si>
    <t xml:space="preserve">BO6</t>
  </si>
  <si>
    <t xml:space="preserve">Post-pilot</t>
  </si>
  <si>
    <t xml:space="preserve">FR2.1</t>
  </si>
  <si>
    <t xml:space="preserve">Platform integrates directly with TIMB's Biometric Grower Registration System</t>
  </si>
  <si>
    <t xml:space="preserve">TIMB Gateway &amp; Compliance</t>
  </si>
  <si>
    <t xml:space="preserve">BO3</t>
  </si>
  <si>
    <t xml:space="preserve">2</t>
  </si>
  <si>
    <t xml:space="preserve">FR2.2</t>
  </si>
  <si>
    <t xml:space="preserve">Farmer's digital ID, biometric thumbprint hash, and farm GPS coordinates are bound to their platform profile</t>
  </si>
  <si>
    <t xml:space="preserve">FR2.3</t>
  </si>
  <si>
    <t xml:space="preserve">When a tobacco bale is logged for transport or delivery, smart contracts cross-reference the grower number and GPS origin</t>
  </si>
  <si>
    <t xml:space="preserve">FR2.4</t>
  </si>
  <si>
    <t xml:space="preserve">System automatically flags unauthorized sales or third-party usage before the crop reaches the auction or contract floor</t>
  </si>
  <si>
    <t xml:space="preserve">FR2.5</t>
  </si>
  <si>
    <t xml:space="preserve">System automates reforestation levy deductions and statutory marketing fee collection at point of sale</t>
  </si>
  <si>
    <t xml:space="preserve">BO4</t>
  </si>
  <si>
    <t xml:space="preserve">FR2.6</t>
  </si>
  <si>
    <t xml:space="preserve">System logs, in real time, whether a farmer uses sustainable coal</t>
  </si>
  <si>
    <t xml:space="preserve">System logs, in real time, whether a farmer uses sustainable coal, approved eucalyptus woodlots (e.g., via the Sustainable Afforestation Association), or illegal indigenous timber</t>
  </si>
  <si>
    <t xml:space="preserve">FR2.7</t>
  </si>
  <si>
    <t xml:space="preserve">System issues immediate compliance clearances required for export permits based on that logged data</t>
  </si>
  <si>
    <t xml:space="preserve">FR2.8</t>
  </si>
  <si>
    <t xml:space="preserve">Grower registration status view shows the grower number, validity, renewal dates, and reminders</t>
  </si>
  <si>
    <t xml:space="preserve">FR2.9</t>
  </si>
  <si>
    <t xml:space="preserve">Registration and renewal workflow with document upload</t>
  </si>
  <si>
    <t xml:space="preserve">Registration and renewal workflow with document upload, an offline queue, submission to TIMB, and booking of appointment slots where the biometric capture needs a visit</t>
  </si>
  <si>
    <t xml:space="preserve">FR2.10</t>
  </si>
  <si>
    <t xml:space="preserve">Grower and contractor contracts are registered digitally with TIMB where the law requires it</t>
  </si>
  <si>
    <t xml:space="preserve">FR2.11</t>
  </si>
  <si>
    <t xml:space="preserve">Configurable side-marketing rules…</t>
  </si>
  <si>
    <t xml:space="preserve">Configurable side-marketing rules (for example bales delivered versus contracted area and expected yield, grower-number mismatches, unusual GPS origins, repeat deliveries) raise alerts to TIMB and the contractor</t>
  </si>
  <si>
    <t xml:space="preserve">FR2.12</t>
  </si>
  <si>
    <t xml:space="preserve">Case management for flagged cases: evidence</t>
  </si>
  <si>
    <t xml:space="preserve">Case management for flagged cases: evidence, investigation steps, farmer response, and outcome, with human review before any penalty</t>
  </si>
  <si>
    <t xml:space="preserve">FR2.13</t>
  </si>
  <si>
    <t xml:space="preserve">Regulator dashboard shows registered growers</t>
  </si>
  <si>
    <t xml:space="preserve">Regulator dashboard shows registered growers, area planted, expected versus delivered volumes, flagged cases, and levies collected, by district with drill-down</t>
  </si>
  <si>
    <t xml:space="preserve">FR2.14</t>
  </si>
  <si>
    <t xml:space="preserve">Statutory returns are generated automatically in the prescribed format, with submission history</t>
  </si>
  <si>
    <t xml:space="preserve">FR2.15</t>
  </si>
  <si>
    <t xml:space="preserve">Levy ledger calculates, deducts, and remits levies to the correct bodies, reconciles them, and gives the farmer a receipt</t>
  </si>
  <si>
    <t xml:space="preserve">FR2.16</t>
  </si>
  <si>
    <t xml:space="preserve">Environmental compliance record covers curing fuel source</t>
  </si>
  <si>
    <t xml:space="preserve">Environmental compliance record covers curing fuel source, woodlot registration and area, and verification photos, and issues certificates linked to export permits</t>
  </si>
  <si>
    <t xml:space="preserve">FR2.17</t>
  </si>
  <si>
    <t xml:space="preserve">Inspector mobile tools let TIMB and AGRITEX officers verify farms</t>
  </si>
  <si>
    <t xml:space="preserve">Inspector mobile tools let TIMB and AGRITEX officers verify farms, woodlots, and barns with offline checklists and geo-tagged evidence</t>
  </si>
  <si>
    <t xml:space="preserve">FR2.18</t>
  </si>
  <si>
    <t xml:space="preserve">Statutory rates, levy rules, and compliance rules are configurable with effective dates and version history</t>
  </si>
  <si>
    <t xml:space="preserve">Statutory rates, levy rules, and compliance rules are configurable with effective dates and version history, so a change in law needs no code release</t>
  </si>
  <si>
    <t xml:space="preserve">FR3.1</t>
  </si>
  <si>
    <t xml:space="preserve">Storage and logistics module swaps tobacco bale tracking for cold-room telemetry and perishable shelf-life timers</t>
  </si>
  <si>
    <t xml:space="preserve">Horticulture Expansion</t>
  </si>
  <si>
    <t xml:space="preserve">Could</t>
  </si>
  <si>
    <t xml:space="preserve">FR3.2</t>
  </si>
  <si>
    <t xml:space="preserve">Bidding and floor management engine adapts into an automated spot-market aggregator for fresh produce markets…</t>
  </si>
  <si>
    <t xml:space="preserve">Bidding and floor management engine adapts into an automated spot-market aggregator for fresh produce markets (e.g., Mbare Musika or regional hubs)</t>
  </si>
  <si>
    <t xml:space="preserve">FR3.3</t>
  </si>
  <si>
    <t xml:space="preserve">System matches daily tomato harvests with urban supermarket chains and informal traders before spoilage occurs</t>
  </si>
  <si>
    <t xml:space="preserve">4</t>
  </si>
  <si>
    <t xml:space="preserve">FR3.4</t>
  </si>
  <si>
    <t xml:space="preserve">Underlying architecture (farm profiling, offtake matching, compliance engine) requires zero structural rewiring</t>
  </si>
  <si>
    <t xml:space="preserve">Underlying architecture (farm profiling, offtake matching, compliance engine) requires zero structural rewiring, only parameter changes, to move from tobacco to horticulture</t>
  </si>
  <si>
    <t xml:space="preserve">FR3.5</t>
  </si>
  <si>
    <t xml:space="preserve">Horticulture crop templates (tomatoes first) hold varieties</t>
  </si>
  <si>
    <t xml:space="preserve">Horticulture crop templates (tomatoes first) hold varieties, cycle lengths, spacing, input schedules, pest and disease lists, and grading classes, so new vegetables are added by configuration</t>
  </si>
  <si>
    <t xml:space="preserve">FR3.6</t>
  </si>
  <si>
    <t xml:space="preserve">A staggered planting planner spreads harvest dates to avoid gluts, using market demand signals</t>
  </si>
  <si>
    <t xml:space="preserve">FR3.7</t>
  </si>
  <si>
    <t xml:space="preserve">Harvest and post-harvest guidance covers maturity stage</t>
  </si>
  <si>
    <t xml:space="preserve">Harvest and post-harvest guidance covers maturity stage, handling, packing, and pre-cooling, with shelf-life estimates by variety and storage condition, labelled as estimates</t>
  </si>
  <si>
    <t xml:space="preserve">FR3.8</t>
  </si>
  <si>
    <t xml:space="preserve">Daily price and demand signals from key markets such as Mbare Musika (see FR10.7 and FR11.17)</t>
  </si>
  <si>
    <t xml:space="preserve">Daily price and demand signals from key markets such as Mbare Musika (see FR10.7 and FR11.17), with alerts when prices pass a threshold the farmer sets</t>
  </si>
  <si>
    <t xml:space="preserve">FR3.9</t>
  </si>
  <si>
    <t xml:space="preserve">One-tap harvest-ready listing posts expected or actual quantity, grade, and pickup location to buyers and transporters</t>
  </si>
  <si>
    <t xml:space="preserve">FR3.10</t>
  </si>
  <si>
    <t xml:space="preserve">Grading and packing standards for crates, size classes, and ripeness tiers, with photo evidence at packing</t>
  </si>
  <si>
    <t xml:space="preserve">FR3.11</t>
  </si>
  <si>
    <t xml:space="preserve">Post-harvest loss tracking records losses by cause (delay, cold chain, rejection) and reports how to reduce them</t>
  </si>
  <si>
    <t xml:space="preserve">FR3.12</t>
  </si>
  <si>
    <t xml:space="preserve">Food safety records log pesticide applications and pre-harvest intervals from the agronomy log</t>
  </si>
  <si>
    <t xml:space="preserve">Food safety records log pesticide applications and pre-harvest intervals from the agronomy log, for supermarket and export residue requirements</t>
  </si>
  <si>
    <t xml:space="preserve">FR3.13</t>
  </si>
  <si>
    <t xml:space="preserve">Cluster harvest coordination lets neighbouring farmers combine loads to fill a truck (see FR10.18)</t>
  </si>
  <si>
    <t xml:space="preserve">FR3.14</t>
  </si>
  <si>
    <t xml:space="preserve">Forward contract options with processors and supermarkets (see FR10.4) for growers who want price certainty</t>
  </si>
  <si>
    <t xml:space="preserve">FR4.1</t>
  </si>
  <si>
    <t xml:space="preserve">Provide crop- and soil-specific guidance, input schedules, and pest/disease alerts tied to the farmer's registered plot</t>
  </si>
  <si>
    <t xml:space="preserve">Agronomy</t>
  </si>
  <si>
    <t xml:space="preserve">FR4.2</t>
  </si>
  <si>
    <t xml:space="preserve">Allow advisors/agronomists/economists to review farmer data and issue structured recommendations…</t>
  </si>
  <si>
    <t xml:space="preserve">Allow advisors/agronomists/economists to review farmer data and issue structured recommendations (see the Agronomy Module section for the full specification, FR7.1 to FR7.14)</t>
  </si>
  <si>
    <t xml:space="preserve">FR4.3</t>
  </si>
  <si>
    <t xml:space="preserve">Track farmer income, expenses, and loan/input-credit balances against the feasibility plan</t>
  </si>
  <si>
    <t xml:space="preserve">Accounting &amp; Input Escrow</t>
  </si>
  <si>
    <t xml:space="preserve">FR4.4</t>
  </si>
  <si>
    <t xml:space="preserve">Generate statements usable as supporting evidence for future credit applications…</t>
  </si>
  <si>
    <t xml:space="preserve">Generate statements usable as supporting evidence for future credit applications (see the Accounting, Financial Management &amp; Input Escrow Module section, FR8.1 to FR8.20)</t>
  </si>
  <si>
    <t xml:space="preserve">FR4.5</t>
  </si>
  <si>
    <t xml:space="preserve">Let farmers and intermediaries manage buyer/contact relationships and communication history</t>
  </si>
  <si>
    <t xml:space="preserve">Marketing &amp; CRM</t>
  </si>
  <si>
    <t xml:space="preserve">FR4.6</t>
  </si>
  <si>
    <t xml:space="preserve">Support outbound marketing of surplus produce (notably for horticulture spot-market matching)</t>
  </si>
  <si>
    <t xml:space="preserve">Support outbound marketing of surplus produce (notably for horticulture spot-market matching); see the Marketing &amp; CRM Module, FR17.1 to FR17.10</t>
  </si>
  <si>
    <t xml:space="preserve">FR4.7</t>
  </si>
  <si>
    <t xml:space="preserve">Support freight-matching between farmers/traders and transporters</t>
  </si>
  <si>
    <t xml:space="preserve">Logistics &amp; Transport</t>
  </si>
  <si>
    <t xml:space="preserve">FR4.8</t>
  </si>
  <si>
    <t xml:space="preserve">Track a load from farm gate to delivery, with status visible to all relevant parties</t>
  </si>
  <si>
    <t xml:space="preserve">FR4.9</t>
  </si>
  <si>
    <t xml:space="preserve">Track cold-room/storage capacity, occupancy, and perishable shelf-life timers</t>
  </si>
  <si>
    <t xml:space="preserve">Refrigeration &amp; Storage</t>
  </si>
  <si>
    <t xml:space="preserve">FR4.10</t>
  </si>
  <si>
    <t xml:space="preserve">Alert relevant parties as shelf-life windows close, to trigger urgent sale/dispatch</t>
  </si>
  <si>
    <t xml:space="preserve">Alert relevant parties as shelf-life windows close, to trigger urgent sale/dispatch; see the Refrigeration &amp; Storage Module, FR18.1 to FR18.12</t>
  </si>
  <si>
    <t xml:space="preserve">FR4.11</t>
  </si>
  <si>
    <t xml:space="preserve">Provide a transactional marketplace where produce/product listings can be discovered and purchased by manufacturers</t>
  </si>
  <si>
    <t xml:space="preserve">Provide a transactional marketplace where produce/product listings can be discovered and purchased by manufacturers, retailers, and consumers</t>
  </si>
  <si>
    <t xml:space="preserve">Ecommerce Marketplace</t>
  </si>
  <si>
    <t xml:space="preserve">FR4.12</t>
  </si>
  <si>
    <t xml:space="preserve">Support order, payment, and delivery-confirmation workflows end to end within the platform</t>
  </si>
  <si>
    <t xml:space="preserve">Support order, payment, and delivery-confirmation workflows end to end within the platform; see the Ecommerce Marketplace section, FR19.1 to FR19.14</t>
  </si>
  <si>
    <t xml:space="preserve">FR7.1</t>
  </si>
  <si>
    <t xml:space="preserve">Farmer maps field boundaries with smartphone GPS during profile setup, reusing the plot registered in Module 1</t>
  </si>
  <si>
    <t xml:space="preserve">FR7.2</t>
  </si>
  <si>
    <t xml:space="preserve">Module connects to localized meteorological and satellite data feeds to issue hyper-local warnings</t>
  </si>
  <si>
    <t xml:space="preserve">Module connects to localized meteorological and satellite data feeds to issue hyper-local warnings, such as frost alerts for tobacco seedlings, heavy storm warnings, and prolonged dry spells that need irrigation scheduling</t>
  </si>
  <si>
    <t xml:space="preserve">FR7.3</t>
  </si>
  <si>
    <t xml:space="preserve">Farmer photographs an affected leaf (for example Barn Spot or Frog-eye on tobacco, or blight-related leaf curl on tomatoes) and…</t>
  </si>
  <si>
    <t xml:space="preserve">Farmer photographs an affected leaf (for example Barn Spot or Frog-eye on tobacco, or blight-related leaf curl on tomatoes) and an offline-capable image recognition model runs on the phone</t>
  </si>
  <si>
    <t xml:space="preserve">FR7.4</t>
  </si>
  <si>
    <t xml:space="preserve">Model identifies the pest or pathogen and rates severity</t>
  </si>
  <si>
    <t xml:space="preserve">FR7.5</t>
  </si>
  <si>
    <t xml:space="preserve">Module outputs an exact localized remedy</t>
  </si>
  <si>
    <t xml:space="preserve">Module outputs an exact localized remedy, such as a specific chemical dosage or an organic intervention, plus where to source the input locally</t>
  </si>
  <si>
    <t xml:space="preserve">FR7.6</t>
  </si>
  <si>
    <t xml:space="preserve">Each diagnosis shows a confidence level; low-confidence or high-severity cases are escalated to a human agronomist</t>
  </si>
  <si>
    <t xml:space="preserve">FR7.7</t>
  </si>
  <si>
    <t xml:space="preserve">With the farmer's consent, labelled images and outcomes improve the model over time</t>
  </si>
  <si>
    <t xml:space="preserve">FR7.8</t>
  </si>
  <si>
    <t xml:space="preserve">Tobacco calendar covers seedbed management, topping, priming, curing, and grading</t>
  </si>
  <si>
    <t xml:space="preserve">Tobacco calendar covers seedbed management, topping, priming, curing, and grading; tomato calendar covers transplanting, vegetative growth, flowering, and harvesting windows</t>
  </si>
  <si>
    <t xml:space="preserve">FR7.9</t>
  </si>
  <si>
    <t xml:space="preserve">Timed prompts by push notification or SMS tell the farmer exactly when to apply basal fertilizer</t>
  </si>
  <si>
    <t xml:space="preserve">Timed prompts by push notification or SMS tell the farmer exactly when to apply basal fertilizer, top-dress, or prepare curing facilities, based on the registered planting date</t>
  </si>
  <si>
    <t xml:space="preserve">FR7.10</t>
  </si>
  <si>
    <t xml:space="preserve">SMS and USSD fallback so prompts reach farmers without smartphones or data</t>
  </si>
  <si>
    <t xml:space="preserve">FR7.11</t>
  </si>
  <si>
    <t xml:space="preserve">When the module recommends a chemical or fertilizer application</t>
  </si>
  <si>
    <t xml:space="preserve">When the module recommends a chemical or fertilizer application, it creates a draft expense entry in the Financial Management Module</t>
  </si>
  <si>
    <t xml:space="preserve">FR7.12</t>
  </si>
  <si>
    <t xml:space="preserve">If the inputs are tied to a credit facility, it signals the Input Escrow</t>
  </si>
  <si>
    <t xml:space="preserve">FR7.13</t>
  </si>
  <si>
    <t xml:space="preserve">The digital crop log is a tamper-evident audit trail that shows good agricultural practices (GAP) were followed all season</t>
  </si>
  <si>
    <t xml:space="preserve">The digital crop log is a tamper-evident audit trail that shows good agricultural practices (GAP) were followed all season, for TIMB and export markets</t>
  </si>
  <si>
    <t xml:space="preserve">FR7.14</t>
  </si>
  <si>
    <t xml:space="preserve">Contractor and agronomist dashboard shows crop stress and milestones across many smallholders</t>
  </si>
  <si>
    <t xml:space="preserve">Contractor and agronomist dashboard shows crop stress and milestones across many smallholders, with bulk advisories to groups of farmers</t>
  </si>
  <si>
    <t xml:space="preserve">FR6.1</t>
  </si>
  <si>
    <t xml:space="preserve">Transporter onboarding with verification of driver's licence, vehicle registration, operator licence, and identity</t>
  </si>
  <si>
    <t xml:space="preserve">FR6.2</t>
  </si>
  <si>
    <t xml:space="preserve">Load posting works offline and syncs when a connection returns; USSD/SMS fallback for booking</t>
  </si>
  <si>
    <t xml:space="preserve">FR6.3</t>
  </si>
  <si>
    <t xml:space="preserve">Matching by route, capacity, vehicle type, refrigeration, rating, and price, with fixed-rate or bid options</t>
  </si>
  <si>
    <t xml:space="preserve">FR6.4</t>
  </si>
  <si>
    <t xml:space="preserve">Escrow held with a licensed payment service provider; release only on delivery confirmation or dispute resolution</t>
  </si>
  <si>
    <t xml:space="preserve">FR6.5</t>
  </si>
  <si>
    <t xml:space="preserve">Instant settlement to transporter and farmer mobile-money wallets or bank accounts</t>
  </si>
  <si>
    <t xml:space="preserve">FR6.6</t>
  </si>
  <si>
    <t xml:space="preserve">Pre-dispatch compliance gate that blocks tobacco loads lacking a valid grower number, GPS origin match, or levy clearance</t>
  </si>
  <si>
    <t xml:space="preserve">FR6.7</t>
  </si>
  <si>
    <t xml:space="preserve">Live tracking visible to shipper, receiver, and, where permitted, regulator; alerts for delay, deviation, and temperature breach</t>
  </si>
  <si>
    <t xml:space="preserve">FR6.8</t>
  </si>
  <si>
    <t xml:space="preserve">Two-factor delivery confirmation (QR plus one-time code) to reduce collusion, with photo and quantity evidence</t>
  </si>
  <si>
    <t xml:space="preserve">FR6.9</t>
  </si>
  <si>
    <t xml:space="preserve">Dispute workflow with evidence upload, timeline, partial release, and audit trail</t>
  </si>
  <si>
    <t xml:space="preserve">FR6.10</t>
  </si>
  <si>
    <t xml:space="preserve">Transporter and shipper reputation scores feeding a payment history usable for future credit (with consent)</t>
  </si>
  <si>
    <t xml:space="preserve">FR6.11</t>
  </si>
  <si>
    <t xml:space="preserve">Return-load (backhaul) suggestions to reduce empty trips</t>
  </si>
  <si>
    <t xml:space="preserve">FR6.12</t>
  </si>
  <si>
    <t xml:space="preserve">Optional cargo insurance and fuel-advance integrations (nice to have)</t>
  </si>
  <si>
    <t xml:space="preserve">FR6.13</t>
  </si>
  <si>
    <t xml:space="preserve">Transporters can use the module standalone with only a phone number</t>
  </si>
  <si>
    <t xml:space="preserve">Transporters can use the module standalone with only a phone number, mobile wallet, and vehicle details, with no other module required</t>
  </si>
  <si>
    <t xml:space="preserve">FR6.14</t>
  </si>
  <si>
    <t xml:space="preserve">Tiered vehicle pairing matches the payload to first-mile (carts, tractors) or middle/long-mile (trucks, kombis, heavy carriers)…</t>
  </si>
  <si>
    <t xml:space="preserve">Tiered vehicle pairing matches the payload to first-mile (carts, tractors) or middle/long-mile (trucks, kombis, heavy carriers) transport, and can chain several legs into one journey with handover between tiers</t>
  </si>
  <si>
    <t xml:space="preserve">FR6.15</t>
  </si>
  <si>
    <t xml:space="preserve">A unique QR code is generated on the farmer's app</t>
  </si>
  <si>
    <t xml:space="preserve">A unique QR code is generated on the farmer's app, scanned by the driver at loading and by the receiver at drop-off (auction floor, processing plant, or municipal market) to confirm quantity and condition</t>
  </si>
  <si>
    <t xml:space="preserve">FR6.16</t>
  </si>
  <si>
    <t xml:space="preserve">Backhaul notifications alert a transporter dropping inputs in a rural area to scheduled crop pickups nearby</t>
  </si>
  <si>
    <t xml:space="preserve">Backhaul notifications alert a transporter dropping inputs in a rural area to scheduled crop pickups nearby, so the return leg carries paying cargo</t>
  </si>
  <si>
    <t xml:space="preserve">FR6.17</t>
  </si>
  <si>
    <t xml:space="preserve">Fuel liquidity support: optional fuel advance or voucher against an escrowed job, repaid from the settlement</t>
  </si>
  <si>
    <t xml:space="preserve">FR6.18</t>
  </si>
  <si>
    <t xml:space="preserve">Perishable priority: tomato loads carry a shelf-life timer</t>
  </si>
  <si>
    <t xml:space="preserve">Perishable priority: tomato loads carry a shelf-life timer, get priority matching, and peak-harvest demand alerts go to transporters in the area</t>
  </si>
  <si>
    <t xml:space="preserve">FR6.19</t>
  </si>
  <si>
    <t xml:space="preserve">Condition photos at loading and drop-off establish who is accountable for damage or loss in transit</t>
  </si>
  <si>
    <t xml:space="preserve">FR6.20</t>
  </si>
  <si>
    <t xml:space="preserve">For TIMB, transport tracking records verify that bales leaving a farm gate match that grower's registered quota and flag…</t>
  </si>
  <si>
    <t xml:space="preserve">For TIMB, transport tracking records verify that bales leaving a farm gate match that grower's registered quota and flag unregistered transit routes used in side-marketing</t>
  </si>
  <si>
    <t xml:space="preserve">FR6.21</t>
  </si>
  <si>
    <t xml:space="preserve">Transport costs are logged automatically in the farmer's Financial Management Module against projected profits</t>
  </si>
  <si>
    <t xml:space="preserve">FR8.1</t>
  </si>
  <si>
    <t xml:space="preserve">Visual dashboard usable by a farmer with no bookkeeping experience, phone only</t>
  </si>
  <si>
    <t xml:space="preserve">FR8.2</t>
  </si>
  <si>
    <t xml:space="preserve">Receipt photo capture with OCR extracts amount</t>
  </si>
  <si>
    <t xml:space="preserve">Receipt photo capture with OCR extracts amount, date, and vendor for casual labour, fuel, and spare parts, and files each into a category such as operating costs, labour, or crop maintenance, for the farmer to confirm</t>
  </si>
  <si>
    <t xml:space="preserve">FR8.3</t>
  </si>
  <si>
    <t xml:space="preserve">Voice-note logging in English, Shona, and Ndebele</t>
  </si>
  <si>
    <t xml:space="preserve">Voice-note logging in English, Shona, and Ndebele; a note such as "Ndapedza 50 dollars pakutenga petrol yama pump ya tomato" or "Ngithenge petrol ye 50 dollars" is transcribed into a ledger entry for the farmer to confirm; audio is stored offline and transcribed on sync if needed</t>
  </si>
  <si>
    <t xml:space="preserve">FR8.4</t>
  </si>
  <si>
    <t xml:space="preserve">Separate household and farm categories or wallets, so household spending does not mix with farm capital</t>
  </si>
  <si>
    <t xml:space="preserve">FR8.5</t>
  </si>
  <si>
    <t xml:space="preserve">Draft entries are created automatically from agronomy recommendations (FR7.11) and transport costs (FR6.21)</t>
  </si>
  <si>
    <t xml:space="preserve">FR8.6</t>
  </si>
  <si>
    <t xml:space="preserve">Season budget versus actual, compared with the feasibility plan from Module 1</t>
  </si>
  <si>
    <t xml:space="preserve">FR8.7</t>
  </si>
  <si>
    <t xml:space="preserve">Debt view showing every loan, balance, due date, and forecast repayment, with alerts so there are no surprise debts at season end</t>
  </si>
  <si>
    <t xml:space="preserve">FR8.8</t>
  </si>
  <si>
    <t xml:space="preserve">Input loans from a bank or contract sponsor are held in a ring-fenced Input Escrow account</t>
  </si>
  <si>
    <t xml:space="preserve">Input loans from a bank or contract sponsor are held in a ring-fenced Input Escrow account, or issued as physical inputs or voucher codes, and never paid to the farmer as a lump sum of cash</t>
  </si>
  <si>
    <t xml:space="preserve">FR8.9</t>
  </si>
  <si>
    <t xml:space="preserve">Milestone-based disbursement: funds or voucher codes for specific inputs unlock only when the Agronomy Module confirms the crop…</t>
  </si>
  <si>
    <t xml:space="preserve">Milestone-based disbursement: funds or voucher codes for specific inputs unlock only when the Agronomy Module confirms the crop stage (for example land preparation complete, ready for basal fertilizer); the lender can configure the milestones</t>
  </si>
  <si>
    <t xml:space="preserve">FR8.10</t>
  </si>
  <si>
    <t xml:space="preserve">Vouchers are redeemed at approved input suppliers, who confirm redemption and are paid promptly from escrow</t>
  </si>
  <si>
    <t xml:space="preserve">FR8.11</t>
  </si>
  <si>
    <t xml:space="preserve">Diversion detection flags anomalies, such as inputs bought but not applied or resold, and alerts the lender</t>
  </si>
  <si>
    <t xml:space="preserve">FR8.12</t>
  </si>
  <si>
    <t xml:space="preserve">Escrow is held with a licensed payment service provider, consistent with FR6.4</t>
  </si>
  <si>
    <t xml:space="preserve">FR8.13</t>
  </si>
  <si>
    <t xml:space="preserve">Live cost-versus-revenue tracking as sales occur</t>
  </si>
  <si>
    <t xml:space="preserve">Live cost-versus-revenue tracking as sales occur, whether through the tobacco auction or contract floor or wholesale tomato buyers, with revenue flowing through the platform</t>
  </si>
  <si>
    <t xml:space="preserve">FR8.14</t>
  </si>
  <si>
    <t xml:space="preserve">Automatic waterfall distribution before the farmer receives cash: statutory levies and taxes (such as TIMB fees) are cleared</t>
  </si>
  <si>
    <t xml:space="preserve">Automatic waterfall distribution before the farmer receives cash: statutory levies and taxes (such as TIMB fees) are cleared, input loan repayment is routed to the bank or contractor, agreed deductions such as freight are settled, and net profit goes to the farmer's mobile-money or bank wallet; the order of priority follows law and contract and is configurable</t>
  </si>
  <si>
    <t xml:space="preserve">FR8.15</t>
  </si>
  <si>
    <t xml:space="preserve">Itemised settlement statement showing every deduction, with a dispute option for the farmer</t>
  </si>
  <si>
    <t xml:space="preserve">FR8.16</t>
  </si>
  <si>
    <t xml:space="preserve">Rules for shortfalls, partial repayment, and rollover when a sale does not cover the loan</t>
  </si>
  <si>
    <t xml:space="preserve">FR8.17</t>
  </si>
  <si>
    <t xml:space="preserve">Read-only, consent-based lender view of a tamper-evident ledger</t>
  </si>
  <si>
    <t xml:space="preserve">Read-only, consent-based lender view of a tamper-evident ledger, with exportable statements, which sharply reduces the cost of physical audit visits</t>
  </si>
  <si>
    <t xml:space="preserve">FR8.18</t>
  </si>
  <si>
    <t xml:space="preserve">Credit score built from multiple seasons of platform-verified data</t>
  </si>
  <si>
    <t xml:space="preserve">Credit score built from multiple seasons of platform-verified data; farmers with clean history can qualify for larger follow-on loans without title deeds, where the lender's policy allows</t>
  </si>
  <si>
    <t xml:space="preserve">FR8.19</t>
  </si>
  <si>
    <t xml:space="preserve">Repayment at the point of sale through escrow, before the farmer's payout, to lower non-performing loans</t>
  </si>
  <si>
    <t xml:space="preserve">FR8.20</t>
  </si>
  <si>
    <t xml:space="preserve">Supplier view of payment status for implements and chemicals, so collections are timely and credit risk is visible</t>
  </si>
  <si>
    <t xml:space="preserve">FR10.1</t>
  </si>
  <si>
    <t xml:space="preserve">Buyer onboarding with business verification for manufacturers, retailers, and traders</t>
  </si>
  <si>
    <t xml:space="preserve">Consumer, Retailer &amp; Offtaker</t>
  </si>
  <si>
    <t xml:space="preserve">FR10.2</t>
  </si>
  <si>
    <t xml:space="preserve">Buyers post demand by crop, grade, volume, delivery window, and price range</t>
  </si>
  <si>
    <t xml:space="preserve">FR10.3</t>
  </si>
  <si>
    <t xml:space="preserve">Supply forecast by crop, region</t>
  </si>
  <si>
    <t xml:space="preserve">Supply forecast by crop, region, and harvest window, built from crop calendars and planting dates, aggregated and shown only with farmer consent, with an accuracy indicator</t>
  </si>
  <si>
    <t xml:space="preserve">FR10.4</t>
  </si>
  <si>
    <t xml:space="preserve">Standardised forward contract templates covering volume</t>
  </si>
  <si>
    <t xml:space="preserve">Standardised forward contract templates covering volume, grade, price mechanism (fixed, floor, or indexed), delivery window, and penalties, in plain language and linked to the digital contract sign-off in FR1.4 to FR1.6</t>
  </si>
  <si>
    <t xml:space="preserve">FR10.5</t>
  </si>
  <si>
    <t xml:space="preserve">Fulfilment tracking of contracted versus delivered volume and quality, with early warnings of shortfalls</t>
  </si>
  <si>
    <t xml:space="preserve">FR10.6</t>
  </si>
  <si>
    <t xml:space="preserve">Daily listings, bids, and matching for tomatoes and other perishables before spoilage, extending FR3.2 and FR3.3</t>
  </si>
  <si>
    <t xml:space="preserve">FR10.7</t>
  </si>
  <si>
    <t xml:space="preserve">Published reference prices and price trends by market (for example Mbare Musika and regional hubs)</t>
  </si>
  <si>
    <t xml:space="preserve">FR10.8</t>
  </si>
  <si>
    <t xml:space="preserve">Standard grading and quality specifications per crop (tobacco grades, tomato classes)</t>
  </si>
  <si>
    <t xml:space="preserve">Standard grading and quality specifications per crop (tobacco grades, tomato classes), with photo evidence at collection and receiving</t>
  </si>
  <si>
    <t xml:space="preserve">FR10.9</t>
  </si>
  <si>
    <t xml:space="preserve">Batch or lot IDs and QR traceability from farm to shelf</t>
  </si>
  <si>
    <t xml:space="preserve">Batch or lot IDs and QR traceability from farm to shelf, showing origin, GAP compliance (FR7.13), and transport and cold-chain history</t>
  </si>
  <si>
    <t xml:space="preserve">FR10.10</t>
  </si>
  <si>
    <t xml:space="preserve">Consumer scan of a QR code shows the farming cluster</t>
  </si>
  <si>
    <t xml:space="preserve">Consumer scan of a QR code shows the farming cluster, harvest date, sustainable production credentials, and compliance status, supporting local and international export compliance standards; farmer personal details appear only with the farmer's consent</t>
  </si>
  <si>
    <t xml:space="preserve">FR10.11</t>
  </si>
  <si>
    <t xml:space="preserve">Quality dispute workflow with evidence, partial acceptance, and price adjustment</t>
  </si>
  <si>
    <t xml:space="preserve">FR10.12</t>
  </si>
  <si>
    <t xml:space="preserve">Escrow-backed payment on acceptance, feeding the waterfall in FR8.14 so farmers are paid quickly</t>
  </si>
  <si>
    <t xml:space="preserve">FR10.13</t>
  </si>
  <si>
    <t xml:space="preserve">Supplier scorecards (reliability, quality, on-time delivery) for buyers, and buyer scorecards (payment timeliness) for farmers</t>
  </si>
  <si>
    <t xml:space="preserve">FR10.14</t>
  </si>
  <si>
    <t xml:space="preserve">APIs to integrate with buyers' procurement, ERP, and point-of-sale systems and with auction floor systems</t>
  </si>
  <si>
    <t xml:space="preserve">FR10.15</t>
  </si>
  <si>
    <t xml:space="preserve">Compliance and sustainability reporting for buyers, such as GAP, levy, and curing-fuel compliance records</t>
  </si>
  <si>
    <t xml:space="preserve">FR10.16</t>
  </si>
  <si>
    <t xml:space="preserve">Direct consumer orders, such as bulk produce boxes delivered through the Logistics Module (nice to have)</t>
  </si>
  <si>
    <t xml:space="preserve">FR10.17</t>
  </si>
  <si>
    <t xml:space="preserve">Virtual commodity exchange: manufacturers and retail buyers post projected seasonal demand…</t>
  </si>
  <si>
    <t xml:space="preserve">Virtual commodity exchange: manufacturers and retail buyers post projected seasonal demand (volume, target delivery dates, and grade specifications for tobacco or horticulture) months before harvest</t>
  </si>
  <si>
    <t xml:space="preserve">FR10.18</t>
  </si>
  <si>
    <t xml:space="preserve">Algorithmic aggregation: the platform groups regional farming clusters and matches corporate demand with verified collective…</t>
  </si>
  <si>
    <t xml:space="preserve">Algorithmic aggregation: the platform groups regional farming clusters and matches corporate demand with verified collective production capacity, so buyers deal with clusters instead of thousands of individual smallholders; contracts state how volume and payment are shared among cluster members</t>
  </si>
  <si>
    <t xml:space="preserve">FR10.19</t>
  </si>
  <si>
    <t xml:space="preserve">Standardised digital grading logs recorded at harvest and packing by farmers or certified local extension officers…</t>
  </si>
  <si>
    <t xml:space="preserve">Standardised digital grading logs recorded at harvest and packing by farmers or certified local extension officers (for tobacco, leaf style and maturity; for tomatoes, size and ripeness tier)</t>
  </si>
  <si>
    <t xml:space="preserve">FR10.20</t>
  </si>
  <si>
    <t xml:space="preserve">Smart quality lock: the buyer reviews the digital grade profile before dispatch</t>
  </si>
  <si>
    <t xml:space="preserve">Smart quality lock: the buyer reviews the digital grade profile before dispatch, and the accepted grade record becomes tamper-evident, so both parties work from one ledger of product specifications and gate disputes fall away; residual disputes follow FR10.11 and FR11.9</t>
  </si>
  <si>
    <t xml:space="preserve">FR10.21</t>
  </si>
  <si>
    <t xml:space="preserve">Cold-chain telemetry: storage units and transport links feed temperature and humidity data into the platform</t>
  </si>
  <si>
    <t xml:space="preserve">Cold-chain telemetry: storage units and transport links feed temperature and humidity data into the platform, with alerts on breach, to keep the cold chain intact from farm gate to supermarket shelf (see FR3.1 and FR6.7)</t>
  </si>
  <si>
    <t xml:space="preserve">FR10.22</t>
  </si>
  <si>
    <t xml:space="preserve">Buyer dashboards for procurement teams showing contracted versus forecast supply by cluster, grade mix, and delivery status</t>
  </si>
  <si>
    <t xml:space="preserve">FR11.1</t>
  </si>
  <si>
    <t xml:space="preserve">Digital bale tagging: before loading</t>
  </si>
  <si>
    <t xml:space="preserve">Digital bale tagging: before loading, each bale is scanned and given a unique tamper-evident QR or RFID tag linked to the grower's TIMB biometric profile</t>
  </si>
  <si>
    <t xml:space="preserve">Auction Floors &amp; Exchange</t>
  </si>
  <si>
    <t xml:space="preserve">FR11.2</t>
  </si>
  <si>
    <t xml:space="preserve">Slot allocation: the platform assigns a digital arrival and drop-off slot (for example Floor 3, Bay B, Tuesday 08:00) instead…</t>
  </si>
  <si>
    <t xml:space="preserve">Slot allocation: the platform assigns a digital arrival and drop-off slot (for example Floor 3, Bay B, Tuesday 08:00) instead of trucks arriving at once and jamming the gates</t>
  </si>
  <si>
    <t xml:space="preserve">FR11.3</t>
  </si>
  <si>
    <t xml:space="preserve">Slot management with capacity limits per floor and bay, rescheduling, congestion alerts, and queue status by SMS and USSD</t>
  </si>
  <si>
    <t xml:space="preserve">FR11.4</t>
  </si>
  <si>
    <t xml:space="preserve">Slots are linked to the freight booking and the pre-dispatch compliance gate (FR6.6)</t>
  </si>
  <si>
    <t xml:space="preserve">Slots are linked to the freight booking and the pre-dispatch compliance gate (FR6.6), so a load cannot be dispatched without a valid slot</t>
  </si>
  <si>
    <t xml:space="preserve">FR11.5</t>
  </si>
  <si>
    <t xml:space="preserve">Fast-track intake: a floor clerk scans the bale tag</t>
  </si>
  <si>
    <t xml:space="preserve">Fast-track intake: a floor clerk scans the bale tag, and weight, moisture, and preliminary grade sync instantly to the auction management dashboard, with an offline mode</t>
  </si>
  <si>
    <t xml:space="preserve">FR11.6</t>
  </si>
  <si>
    <t xml:space="preserve">Reconciliation of arrived bales against tagged and expected bales, flagging missing, extra, or mismatched bales</t>
  </si>
  <si>
    <t xml:space="preserve">FR11.7</t>
  </si>
  <si>
    <t xml:space="preserve">Hybrid bidding engine: licensed buyers see live floor inventory on workspace tablets and submit electronic bids alongside…</t>
  </si>
  <si>
    <t xml:space="preserve">Hybrid bidding engine: licensed buyers see live floor inventory on workspace tablets and submit electronic bids alongside traditional floor bids, all in one audit trail, subject to approval by TIMB and the floor operators</t>
  </si>
  <si>
    <t xml:space="preserve">FR11.8</t>
  </si>
  <si>
    <t xml:space="preserve">Bid integrity: authenticated licensed buyers only</t>
  </si>
  <si>
    <t xml:space="preserve">Bid integrity: authenticated licensed buyers only, time-stamped tamper-evident bid log, and a manual fallback if connectivity fails</t>
  </si>
  <si>
    <t xml:space="preserve">FR11.9</t>
  </si>
  <si>
    <t xml:space="preserve">Real-time grade arbitration: if a farmer disputes a grade</t>
  </si>
  <si>
    <t xml:space="preserve">Real-time grade arbitration: if a farmer disputes a grade, an independent AGRITEX or TIMB inspector records a digital verdict with photo evidence within a fixed time window, so disputes do not stall the floor</t>
  </si>
  <si>
    <t xml:space="preserve">FR11.10</t>
  </si>
  <si>
    <t xml:space="preserve">Ownership and side-marketing checks: each bale's grower registration and contract status are verified</t>
  </si>
  <si>
    <t xml:space="preserve">Ownership and side-marketing checks: each bale's grower registration and contract status are verified, and contracted tobacco dumped on the floor is flagged (see FR2.4)</t>
  </si>
  <si>
    <t xml:space="preserve">FR11.11</t>
  </si>
  <si>
    <t xml:space="preserve">Multi-party ownership tracking, so TIMB can see who owns each bale at each stage</t>
  </si>
  <si>
    <t xml:space="preserve">FR11.12</t>
  </si>
  <si>
    <t xml:space="preserve">When the hammer drops and the sale is finalised</t>
  </si>
  <si>
    <t xml:space="preserve">When the hammer drops and the sale is finalised, the system runs the settlement waterfall (FR8.14): loan repayment is routed to the financier, statutory levies and reforestation and environmental fees (TIMB and EMA dues) are cleared, transport escrow is released to the trucker, and net proceeds go to the farmer's mobile wallet or bank account; the order of priority follows law and contract</t>
  </si>
  <si>
    <t xml:space="preserve">FR11.13</t>
  </si>
  <si>
    <t xml:space="preserve">Target payout within the hour, subject to bank and payment-rail capability, with real-time status shown to the farmer</t>
  </si>
  <si>
    <t xml:space="preserve">FR11.14</t>
  </si>
  <si>
    <t xml:space="preserve">Automated reconciliation between buyers' banks, floors, TIMB, and the platform ledger, with exception handling</t>
  </si>
  <si>
    <t xml:space="preserve">FR11.15</t>
  </si>
  <si>
    <t xml:space="preserve">Itemised settlement statement to the farmer, with a dispute option</t>
  </si>
  <si>
    <t xml:space="preserve">FR11.16</t>
  </si>
  <si>
    <t xml:space="preserve">The same engine runs as a Digital Spot Market and Fresh Produce Exchange</t>
  </si>
  <si>
    <t xml:space="preserve">The same engine runs as a Digital Spot Market and Fresh Produce Exchange, modelled on high-volume markets such as Mbare Musika or regional grain depots, with configurable grading and rules per commodity</t>
  </si>
  <si>
    <t xml:space="preserve">FR11.17</t>
  </si>
  <si>
    <t xml:space="preserve">Dynamic pricing boards show real-time supply and demand for perishable tomatoes or maize based on daily arrivals</t>
  </si>
  <si>
    <t xml:space="preserve">FR11.18</t>
  </si>
  <si>
    <t xml:space="preserve">Instant lot clearing: bulk buyers such as supermarkets and food processors bid on incoming truckloads before they enter the…</t>
  </si>
  <si>
    <t xml:space="preserve">Instant lot clearing: bulk buyers such as supermarkets and food processors bid on incoming truckloads before they enter the market yard, using in-transit data from the Logistics Module, to reduce post-harvest spoilage</t>
  </si>
  <si>
    <t xml:space="preserve">FR11.19</t>
  </si>
  <si>
    <t xml:space="preserve">Aggregated price and volume data feeds the reference prices in FR10.7</t>
  </si>
  <si>
    <t xml:space="preserve">FR17.1</t>
  </si>
  <si>
    <t xml:space="preserve">Contact and relationship book for buyers</t>
  </si>
  <si>
    <t xml:space="preserve">Contact and relationship book for buyers, suppliers, neighbours, and agents, with notes, history, and follow-up reminders, working offline</t>
  </si>
  <si>
    <t xml:space="preserve">FR17.2</t>
  </si>
  <si>
    <t xml:space="preserve">Simple deal pipeline (enquiry, quote, agreed, delivered, paid) per buyer or client</t>
  </si>
  <si>
    <t xml:space="preserve">FR17.3</t>
  </si>
  <si>
    <t xml:space="preserve">Shareable profile page for a farmer or business showing produce or services</t>
  </si>
  <si>
    <t xml:space="preserve">Shareable profile page for a farmer or business showing produce or services, volume, grade, location, and ratings, with a link and QR code that work in WhatsApp</t>
  </si>
  <si>
    <t xml:space="preserve">FR17.4</t>
  </si>
  <si>
    <t xml:space="preserve">Broadcast messaging by SMS, WhatsApp</t>
  </si>
  <si>
    <t xml:space="preserve">Broadcast messaging by SMS, WhatsApp, or push to contacts or groups (for example an agent to farmers in a cluster), using templates in English, Shona, and Ndebele</t>
  </si>
  <si>
    <t xml:space="preserve">FR17.5</t>
  </si>
  <si>
    <t xml:space="preserve">Offers and campaigns, such as seasonal input offers, targeted by crop, area, and role using only consented data</t>
  </si>
  <si>
    <t xml:space="preserve">FR17.6</t>
  </si>
  <si>
    <t xml:space="preserve">Ratings and reviews after completed transactions, with controls against fake reviews and a route to dispute a rating</t>
  </si>
  <si>
    <t xml:space="preserve">FR17.7</t>
  </si>
  <si>
    <t xml:space="preserve">Automated follow-ups for delivery confirmation, payment due, and re-order reminders</t>
  </si>
  <si>
    <t xml:space="preserve">FR17.8</t>
  </si>
  <si>
    <t xml:space="preserve">Simple analytics on enquiries, conversions, and response times</t>
  </si>
  <si>
    <t xml:space="preserve">FR17.9</t>
  </si>
  <si>
    <t xml:space="preserve">Opt-in consent, frequency limits, and honoured opt-outs for all marketing messages, in line with the privacy sections</t>
  </si>
  <si>
    <t xml:space="preserve">All</t>
  </si>
  <si>
    <t xml:space="preserve">FR17.10</t>
  </si>
  <si>
    <t xml:space="preserve">Deals convert directly into contracts or orders (FR10), freight bookings (FR6), and ledger entries (FR8)</t>
  </si>
  <si>
    <t xml:space="preserve">FR18.1</t>
  </si>
  <si>
    <t xml:space="preserve">Storage asset register for cold rooms</t>
  </si>
  <si>
    <t xml:space="preserve">Storage asset register for cold rooms, curing barns, warehouses, and silos, with capacity, location, owner, power backup, and rates</t>
  </si>
  <si>
    <t xml:space="preserve">FR18.2</t>
  </si>
  <si>
    <t xml:space="preserve">Storage booking: owners list capacity and prices</t>
  </si>
  <si>
    <t xml:space="preserve">Storage booking: owners list capacity and prices, and farmers or traders book space by crate, pallet, or bale per day, with payment through escrow</t>
  </si>
  <si>
    <t xml:space="preserve">FR18.3</t>
  </si>
  <si>
    <t xml:space="preserve">Inventory tracking of lots in and out with lot IDs and QR codes (see FR10.9)</t>
  </si>
  <si>
    <t xml:space="preserve">Inventory tracking of lots in and out with lot IDs and QR codes (see FR10.9), recording quantity, grade, date in, and expected shelf life</t>
  </si>
  <si>
    <t xml:space="preserve">FR18.4</t>
  </si>
  <si>
    <t xml:space="preserve">Shelf-life timers and alerts per crop and storage condition, with prompts for urgent sale or dispatch (see FR4.10)</t>
  </si>
  <si>
    <t xml:space="preserve">FR18.5</t>
  </si>
  <si>
    <t xml:space="preserve">Low-cost sensor telemetry for temperature and humidity, with offline buffering, thresholds, and SMS alerts</t>
  </si>
  <si>
    <t xml:space="preserve">FR18.6</t>
  </si>
  <si>
    <t xml:space="preserve">Manual reading entry for stores without sensors, so the module works from day one</t>
  </si>
  <si>
    <t xml:space="preserve">FR18.7</t>
  </si>
  <si>
    <t xml:space="preserve">Excursion handling records temperature or humidity breaches against the affected lots and notifies the owner, buyer, and insurer</t>
  </si>
  <si>
    <t xml:space="preserve">FR18.8</t>
  </si>
  <si>
    <t xml:space="preserve">Curing barn monitoring for tobacco records curing stages and fuel used, linked to the environmental compliance record (FR2.16)</t>
  </si>
  <si>
    <t xml:space="preserve">FR18.9</t>
  </si>
  <si>
    <t xml:space="preserve">Power and fuel resilience alerts for outages, generator or solar status, and fuel level</t>
  </si>
  <si>
    <t xml:space="preserve">FR18.10</t>
  </si>
  <si>
    <t xml:space="preserve">Digital storage receipts record deposited quantity and grade</t>
  </si>
  <si>
    <t xml:space="preserve">Digital storage receipts record deposited quantity and grade, and can later support loans against stored produce where the law allows (nice to have)</t>
  </si>
  <si>
    <t xml:space="preserve">FR18.11</t>
  </si>
  <si>
    <t xml:space="preserve">Hygiene and safety checklists for stores</t>
  </si>
  <si>
    <t xml:space="preserve">FR18.12</t>
  </si>
  <si>
    <t xml:space="preserve">Storage and energy costs flow into the farmer's ledger (see FR8.5)</t>
  </si>
  <si>
    <t xml:space="preserve">FR19.1</t>
  </si>
  <si>
    <t xml:space="preserve">Product catalogue for inputs (seed, fertilizer, chemicals)</t>
  </si>
  <si>
    <t xml:space="preserve">Product catalogue for inputs (seed, fertilizer, chemicals), equipment, and produce, with units, specifications, images, and a registered-product flag</t>
  </si>
  <si>
    <t xml:space="preserve">FR19.2</t>
  </si>
  <si>
    <t xml:space="preserve">Seller onboarding with verification of business registration and licences</t>
  </si>
  <si>
    <t xml:space="preserve">Seller onboarding with verification of business registration and licences, including agrochemical and seed licences (level 3 in the identity model)</t>
  </si>
  <si>
    <t xml:space="preserve">FR19.3</t>
  </si>
  <si>
    <t xml:space="preserve">Search and price comparison by location, with delivery options and a catalogue cached for offline browsing</t>
  </si>
  <si>
    <t xml:space="preserve">FR19.4</t>
  </si>
  <si>
    <t xml:space="preserve">Orders and quotes, including bulk orders and group buying by farmer clusters</t>
  </si>
  <si>
    <t xml:space="preserve">FR19.5</t>
  </si>
  <si>
    <t xml:space="preserve">Checkout by mobile money, bank, escrow, or cash on delivery with confirmation, and receipts that flow into the ledger</t>
  </si>
  <si>
    <t xml:space="preserve">FR19.6</t>
  </si>
  <si>
    <t xml:space="preserve">Input vouchers from escrow (FR8.8 to FR8.10) are redeemable in the catalogue only for approved items</t>
  </si>
  <si>
    <t xml:space="preserve">FR19.7</t>
  </si>
  <si>
    <t xml:space="preserve">Anti-counterfeit checks: scan a batch code on seed or chemicals, sell only registered agrochemicals, and report fakes</t>
  </si>
  <si>
    <t xml:space="preserve">FR19.8</t>
  </si>
  <si>
    <t xml:space="preserve">Delivery through the Logistics Module or collection at pickup points</t>
  </si>
  <si>
    <t xml:space="preserve">FR19.9</t>
  </si>
  <si>
    <t xml:space="preserve">Ratings, returns, refunds, and disputes, with escrow held during a dispute</t>
  </si>
  <si>
    <t xml:space="preserve">FR19.10</t>
  </si>
  <si>
    <t xml:space="preserve">Seller tools for inventory, pricing, order management, and settlement (see the Service Provider Portal)</t>
  </si>
  <si>
    <t xml:space="preserve">FR19.11</t>
  </si>
  <si>
    <t xml:space="preserve">Equipment-as-a-Service rental of tractors</t>
  </si>
  <si>
    <t xml:space="preserve">Equipment-as-a-Service rental of tractors, planters, and sprayers by hour, day, or acre, with an availability calendar, deposit, and usage tracking</t>
  </si>
  <si>
    <t xml:space="preserve">FR19.12</t>
  </si>
  <si>
    <t xml:space="preserve">Transparent fees and commissions shown before checkout</t>
  </si>
  <si>
    <t xml:space="preserve">FR19.13</t>
  </si>
  <si>
    <t xml:space="preserve">Consumer produce orders with traceable QR codes (see FR10.16)</t>
  </si>
  <si>
    <t xml:space="preserve">FR19.14</t>
  </si>
  <si>
    <t xml:space="preserve">Tax invoices and receipts as required by law, and rules for restricted goods</t>
  </si>
  <si>
    <t xml:space="preserve">FR20.1</t>
  </si>
  <si>
    <t xml:space="preserve">Caseload dashboard of the farmers an advisor follows, showing crop stage, alerts, and last contact, with the farmer's consent</t>
  </si>
  <si>
    <t xml:space="preserve">Advisor Desk</t>
  </si>
  <si>
    <t xml:space="preserve">FR20.2</t>
  </si>
  <si>
    <t xml:space="preserve">Crop stress and risk map built from diagnostics, weather, and satellite signals, to prioritise visits</t>
  </si>
  <si>
    <t xml:space="preserve">FR20.3</t>
  </si>
  <si>
    <t xml:space="preserve">Remote advice by chat, voice note, or photo in local languages, with templates and bulk advisories to groups (see FR7.14)</t>
  </si>
  <si>
    <t xml:space="preserve">FR20.4</t>
  </si>
  <si>
    <t xml:space="preserve">Escalation queue for low-confidence or high-severity Snap &amp; Solve cases</t>
  </si>
  <si>
    <t xml:space="preserve">Escalation queue for low-confidence or high-severity Snap &amp; Solve cases, routed to a human advisor with a response-time target (see FR7.6)</t>
  </si>
  <si>
    <t xml:space="preserve">FR20.5</t>
  </si>
  <si>
    <t xml:space="preserve">Farm visit tools with offline checklists, geo-tagged photos, notes, recommendations, and follow-up tasks</t>
  </si>
  <si>
    <t xml:space="preserve">FR20.6</t>
  </si>
  <si>
    <t xml:space="preserve">Feasibility review: advisors can review, annotate, and endorse feasibility plans, and an endorsement badge is visible to lenders</t>
  </si>
  <si>
    <t xml:space="preserve">FR20.7</t>
  </si>
  <si>
    <t xml:space="preserve">Knowledge library of crop guides</t>
  </si>
  <si>
    <t xml:space="preserve">Knowledge library of crop guides, pest and disease pages, best practice, and short videos in English, Shona, and Ndebele, with moderation</t>
  </si>
  <si>
    <t xml:space="preserve">FR20.8</t>
  </si>
  <si>
    <t xml:space="preserve">Certified extension officers can log and verify grades (see FR10.19), with their credentials shown</t>
  </si>
  <si>
    <t xml:space="preserve">FR20.9</t>
  </si>
  <si>
    <t xml:space="preserve">Economist tools give anonymised market, cost, and yield analytics and price outlook reports</t>
  </si>
  <si>
    <t xml:space="preserve">FR20.10</t>
  </si>
  <si>
    <t xml:space="preserve">Paid advice marketplace: private advisors list services and fees and are booked and paid through escrow</t>
  </si>
  <si>
    <t xml:space="preserve">Paid advice marketplace: private advisors list services and fees and are booked and paid through escrow, while public extension stays free</t>
  </si>
  <si>
    <t xml:space="preserve">FR20.11</t>
  </si>
  <si>
    <t xml:space="preserve">Performance tracking of advice given, adoption, and outcomes such as yield change</t>
  </si>
  <si>
    <t xml:space="preserve">FR20.12</t>
  </si>
  <si>
    <t xml:space="preserve">Conflict-of-interest disclosure for advisors who sell inputs or earn commissions, with independent status flagged (see FR13.8)</t>
  </si>
  <si>
    <t xml:space="preserve">FR20.13</t>
  </si>
  <si>
    <t xml:space="preserve">Credential verification and accreditation, with ratings</t>
  </si>
  <si>
    <t xml:space="preserve">FR21.1</t>
  </si>
  <si>
    <t xml:space="preserve">Agent registration and verification (level 3), with accreditation and assigned territory</t>
  </si>
  <si>
    <t xml:space="preserve">Agent Console</t>
  </si>
  <si>
    <t xml:space="preserve">FR21.2</t>
  </si>
  <si>
    <t xml:space="preserve">Assisted transactions, such as onboarding</t>
  </si>
  <si>
    <t xml:space="preserve">Assisted transactions, such as onboarding, freight booking, and sale logging on a farmer's behalf, only with consent or a recorded delegation (see FR15.6 and FR16)</t>
  </si>
  <si>
    <t xml:space="preserve">FR21.3</t>
  </si>
  <si>
    <t xml:space="preserve">Client roster showing activation stage, needs, and follow-ups, linked to the CRM (FR17)</t>
  </si>
  <si>
    <t xml:space="preserve">FR21.4</t>
  </si>
  <si>
    <t xml:space="preserve">Collection point management: aggregate produce or bales from several farmers into a batch</t>
  </si>
  <si>
    <t xml:space="preserve">Collection point management: aggregate produce or bales from several farmers into a batch, record weights and grades, split shares per farmer (see FR10.18), and issue receipts</t>
  </si>
  <si>
    <t xml:space="preserve">FR21.5</t>
  </si>
  <si>
    <t xml:space="preserve">Commission engine with configurable rules (per onboarding, per transaction, per kilogram, tiered)</t>
  </si>
  <si>
    <t xml:space="preserve">Commission engine with configurable rules (per onboarding, per transaction, per kilogram, tiered), automatic calculation, payment through escrow, statements, and a dispute route (see FR13.14)</t>
  </si>
  <si>
    <t xml:space="preserve">FR21.6</t>
  </si>
  <si>
    <t xml:space="preserve">Cash handling controls: minimise cash, use mobile money floats, reconcile daily, set caps, and keep an audit trail</t>
  </si>
  <si>
    <t xml:space="preserve">FR21.7</t>
  </si>
  <si>
    <t xml:space="preserve">Performance dashboard and quality checks covering onboardings, activation, retention, and error rates, with a supervisor view</t>
  </si>
  <si>
    <t xml:space="preserve">FR21.8</t>
  </si>
  <si>
    <t xml:space="preserve">Training and certification modules with refreshers</t>
  </si>
  <si>
    <t xml:space="preserve">FR21.9</t>
  </si>
  <si>
    <t xml:space="preserve">Conduct rules, conflict-of-interest disclosure, and a complaints route</t>
  </si>
  <si>
    <t xml:space="preserve">FR21.10</t>
  </si>
  <si>
    <t xml:space="preserve">Fraud controls: duplicate and ghost-farmer detection, geo-verification of onboardings, and device binding for agent accounts</t>
  </si>
  <si>
    <t xml:space="preserve">FR21.11</t>
  </si>
  <si>
    <t xml:space="preserve">Separate books when an agent also acts in another role, such as transporter (see FR13.7)</t>
  </si>
  <si>
    <t xml:space="preserve">FR21.12</t>
  </si>
  <si>
    <t xml:space="preserve">Offline-first operation with sync</t>
  </si>
  <si>
    <t xml:space="preserve">FR22.1</t>
  </si>
  <si>
    <t xml:space="preserve">Business onboarding and verification of registration and licences, such as agrochemical registration and seed certification</t>
  </si>
  <si>
    <t xml:space="preserve">Service Provider Portal</t>
  </si>
  <si>
    <t xml:space="preserve">FR22.2</t>
  </si>
  <si>
    <t xml:space="preserve">Catalogue and price management with bulk upload</t>
  </si>
  <si>
    <t xml:space="preserve">FR22.3</t>
  </si>
  <si>
    <t xml:space="preserve">Demand insights from consented, aggregated crop areas and planting calendars by district, so suppliers can plan stock</t>
  </si>
  <si>
    <t xml:space="preserve">FR22.4</t>
  </si>
  <si>
    <t xml:space="preserve">Voucher redemption: scan or enter a code</t>
  </si>
  <si>
    <t xml:space="preserve">Voucher redemption: scan or enter a code, verify the item and farmer, confirm hand-over, and receive payment from escrow (see FR8.10)</t>
  </si>
  <si>
    <t xml:space="preserve">FR22.5</t>
  </si>
  <si>
    <t xml:space="preserve">Orders and fulfilment, with delivery scheduling through the Logistics Module</t>
  </si>
  <si>
    <t xml:space="preserve">FR22.6</t>
  </si>
  <si>
    <t xml:space="preserve">Equipment-as-a-Service management with booking calendar</t>
  </si>
  <si>
    <t xml:space="preserve">Equipment-as-a-Service management with booking calendar, operators, pricing per hour or acre, GPS or QR usage logs, and a maintenance schedule</t>
  </si>
  <si>
    <t xml:space="preserve">FR22.7</t>
  </si>
  <si>
    <t xml:space="preserve">Receivables tracker showing who owes what and ageing</t>
  </si>
  <si>
    <t xml:space="preserve">Receivables tracker showing who owes what and ageing, with repayment through the waterfall (FR8.14) and, with consent, a risk view of customers</t>
  </si>
  <si>
    <t xml:space="preserve">FR22.8</t>
  </si>
  <si>
    <t xml:space="preserve">Payment reconciliation, statements, and tax invoices</t>
  </si>
  <si>
    <t xml:space="preserve">FR22.9</t>
  </si>
  <si>
    <t xml:space="preserve">Product authenticity registry with batch codes and recall notices to buyers</t>
  </si>
  <si>
    <t xml:space="preserve">FR22.10</t>
  </si>
  <si>
    <t xml:space="preserve">Customer communication and after-sales support, linked to the CRM (FR17)</t>
  </si>
  <si>
    <t xml:space="preserve">FR22.11</t>
  </si>
  <si>
    <t xml:space="preserve">Performance analytics on sales, redemptions, returns, and ratings</t>
  </si>
  <si>
    <t xml:space="preserve">FR22.12</t>
  </si>
  <si>
    <t xml:space="preserve">APIs to connect supplier inventory, ERP, and point-of-sale systems</t>
  </si>
  <si>
    <t xml:space="preserve">FR23.1</t>
  </si>
  <si>
    <t xml:space="preserve">Government workspace with role-based access for ministries</t>
  </si>
  <si>
    <t xml:space="preserve">Government workspace with role-based access for ministries, AGRITEX, local authorities, the statistics agency, and approved partners</t>
  </si>
  <si>
    <t xml:space="preserve">Government &amp; Policy Insights</t>
  </si>
  <si>
    <t xml:space="preserve">FR23.2</t>
  </si>
  <si>
    <t xml:space="preserve">Production and area dashboards by crop</t>
  </si>
  <si>
    <t xml:space="preserve">Production and area dashboards by crop, district, and season showing planted area, expected yield, and harvest progress, using minimum group sizes so individuals cannot be identified (see FR9.11)</t>
  </si>
  <si>
    <t xml:space="preserve">FR23.3</t>
  </si>
  <si>
    <t xml:space="preserve">Livelihood indicators such as farm income, costs, and debt levels in aggregate, disaggregated by gender and age where consented</t>
  </si>
  <si>
    <t xml:space="preserve">FR23.4</t>
  </si>
  <si>
    <t xml:space="preserve">Market and price monitoring covering prices, volumes, and post-harvest loss</t>
  </si>
  <si>
    <t xml:space="preserve">FR23.5</t>
  </si>
  <si>
    <t xml:space="preserve">Levy and revenue tracking showing levies collected versus expected by district, with leakage indicators (see FR2.15)</t>
  </si>
  <si>
    <t xml:space="preserve">FR23.6</t>
  </si>
  <si>
    <t xml:space="preserve">Early warning maps for drought</t>
  </si>
  <si>
    <t xml:space="preserve">Early warning maps for drought, floods, and pest or disease outbreaks, built from platform signals and shared as alerts to affected areas</t>
  </si>
  <si>
    <t xml:space="preserve">FR23.7</t>
  </si>
  <si>
    <t xml:space="preserve">Programme targeting and delivery</t>
  </si>
  <si>
    <t xml:space="preserve">Programme targeting and delivery, such as subsidised inputs sent to verified farmers as escrow vouchers, with tracking and a legal basis</t>
  </si>
  <si>
    <t xml:space="preserve">FR23.8</t>
  </si>
  <si>
    <t xml:space="preserve">Policy scenario tools to test the effect of levy changes or price floors</t>
  </si>
  <si>
    <t xml:space="preserve">FR23.9</t>
  </si>
  <si>
    <t xml:space="preserve">A formal data-request workflow with legal-basis check, approval, minimum-data rule, and logging</t>
  </si>
  <si>
    <t xml:space="preserve">FR23.10</t>
  </si>
  <si>
    <t xml:space="preserve">Periodic public reports and an API for approved researchers, using anonymised data only</t>
  </si>
  <si>
    <t xml:space="preserve">FR23.11</t>
  </si>
  <si>
    <t xml:space="preserve">Coverage indicators showing what share of farmers are on the platform, so users can see the bias in the data</t>
  </si>
  <si>
    <t xml:space="preserve">FR23.12</t>
  </si>
  <si>
    <t xml:space="preserve">Data governance with data-sharing agreements and, where required, hosting options that keep data in country</t>
  </si>
  <si>
    <t xml:space="preserve">FR9.1</t>
  </si>
  <si>
    <t xml:space="preserve">One identity and one unified data core, with each account holding one or more roles</t>
  </si>
  <si>
    <t xml:space="preserve">Workspace Engine</t>
  </si>
  <si>
    <t xml:space="preserve">FR9.2</t>
  </si>
  <si>
    <t xml:space="preserve">Workspaces are composed from shared modules through configuration; adding a workspace or crop vertical needs no new application</t>
  </si>
  <si>
    <t xml:space="preserve">FR9.3</t>
  </si>
  <si>
    <t xml:space="preserve">Each workspace shows only the tools, metrics, and workflows for that role, with data access controlled by role and consent</t>
  </si>
  <si>
    <t xml:space="preserve">FR9.4</t>
  </si>
  <si>
    <t xml:space="preserve">Users with several roles can switch workspace without logging out</t>
  </si>
  <si>
    <t xml:space="preserve">FR9.5</t>
  </si>
  <si>
    <t xml:space="preserve">Every workspace has a default dashboard and standard reports that can be filtered, exported (PDF, Excel, CSV), and scheduled</t>
  </si>
  <si>
    <t xml:space="preserve">FR9.6</t>
  </si>
  <si>
    <t xml:space="preserve">The farmer workspace has a single master dashboard combining crop calendar, cash position, debt, loads in transit, and alerts</t>
  </si>
  <si>
    <t xml:space="preserve">FR9.7</t>
  </si>
  <si>
    <t xml:space="preserve">Delegated access: a farmer can grant a bank, contractor, or advisor time-limited, revocable access to defined data</t>
  </si>
  <si>
    <t xml:space="preserve">FR9.8</t>
  </si>
  <si>
    <t xml:space="preserve">Notifications are routed by role, channel (push, SMS, USSD, email), and language preference</t>
  </si>
  <si>
    <t xml:space="preserve">FR9.9</t>
  </si>
  <si>
    <t xml:space="preserve">A cross-workspace event bus means one event</t>
  </si>
  <si>
    <t xml:space="preserve">A cross-workspace event bus means one event, such as a signed proof of delivery, updates settlement, the ledger, and the regulator record in near real time</t>
  </si>
  <si>
    <t xml:space="preserve">FR9.10</t>
  </si>
  <si>
    <t xml:space="preserve">Country- and vertical-specific parameters (crop, regulator rules, levies, currency, language) are configurable without code…</t>
  </si>
  <si>
    <t xml:space="preserve">Country- and vertical-specific parameters (crop, regulator rules, levies, currency, language) are configurable without code changes</t>
  </si>
  <si>
    <t xml:space="preserve">FR9.11</t>
  </si>
  <si>
    <t xml:space="preserve">Aggregated, anonymised analytics for government and research use minimum group sizes so individuals cannot be identified</t>
  </si>
  <si>
    <t xml:space="preserve">FR9.12</t>
  </si>
  <si>
    <t xml:space="preserve">An audit log records who viewed or changed what in every workspace</t>
  </si>
  <si>
    <t xml:space="preserve">FR12.1</t>
  </si>
  <si>
    <t xml:space="preserve">On opening the app or web platform, the user lands on a clean, high-contrast home screen in their last-used lens</t>
  </si>
  <si>
    <t xml:space="preserve">Dashboard UX</t>
  </si>
  <si>
    <t xml:space="preserve">FR12.2</t>
  </si>
  <si>
    <t xml:space="preserve">A simple top-bar toggle switches between the user's verified active roles without changing applications…</t>
  </si>
  <si>
    <t xml:space="preserve">A simple top-bar toggle switches between the user's verified active roles without changing applications (see the Multi-Role Hub, FR13.1 to FR13.4)</t>
  </si>
  <si>
    <t xml:space="preserve">FR12.3</t>
  </si>
  <si>
    <t xml:space="preserve">The Global Metric Mirror (top header) is a live ticker of financial health</t>
  </si>
  <si>
    <t xml:space="preserve">The Global Metric Mirror (top header) is a live ticker of financial health, pending escrow actions, active task alerts, and weather and market indices, configured per role</t>
  </si>
  <si>
    <t xml:space="preserve">FR12.4</t>
  </si>
  <si>
    <t xml:space="preserve">The modular drawer (bottom or side navigation) lights up icons dynamically for the active role</t>
  </si>
  <si>
    <t xml:space="preserve">The modular drawer (bottom or side navigation) lights up icons dynamically for the active role, such as Feasibility, Agronomy, Accounting, Logistics, or Auction Floor</t>
  </si>
  <si>
    <t xml:space="preserve">FR12.5</t>
  </si>
  <si>
    <t xml:space="preserve">Hero card shows the immediate seasonal status and next action</t>
  </si>
  <si>
    <t xml:space="preserve">Hero card shows the immediate seasonal status and next action, for example "Tobacco growth stage: Topping. Next action: apply NPK top dressing in 3 days"</t>
  </si>
  <si>
    <t xml:space="preserve">FR12.6</t>
  </si>
  <si>
    <t xml:space="preserve">Quick-action dial with three prominent buttons: Snap &amp; Solve (camera for AI pest check or receipt OCR)</t>
  </si>
  <si>
    <t xml:space="preserve">Quick-action dial with three prominent buttons: Snap &amp; Solve (camera for AI pest check or receipt OCR), Book Transport (one-tap request for a local haulage truck), and My Ledger (visual cash-in versus cash-out with no accounting jargon)</t>
  </si>
  <si>
    <t xml:space="preserve">FR12.7</t>
  </si>
  <si>
    <t xml:space="preserve">Offline-first indicator: a subtle green dot shows sync status</t>
  </si>
  <si>
    <t xml:space="preserve">Offline-first indicator: a subtle green dot shows sync status, so the farmer knows data is safely cached in areas with intermittent coverage</t>
  </si>
  <si>
    <t xml:space="preserve">FR12.8</t>
  </si>
  <si>
    <t xml:space="preserve">Live Freight Radar: a split screen with a local map of available farm-gate pickup pins (tobacco bales, tomato crates) matched…</t>
  </si>
  <si>
    <t xml:space="preserve">Live Freight Radar: a split screen with a local map of available farm-gate pickup pins (tobacco bales, tomato crates) matched against the vehicle's current capacity</t>
  </si>
  <si>
    <t xml:space="preserve">FR12.9</t>
  </si>
  <si>
    <t xml:space="preserve">Escrow Vault status shows funds locked for active jobs in real time, removing payment anxiety</t>
  </si>
  <si>
    <t xml:space="preserve">FR12.10</t>
  </si>
  <si>
    <t xml:space="preserve">One-tap proof of delivery: a large camera or QR scanner trigger used at collection points and at auction floor or market…</t>
  </si>
  <si>
    <t xml:space="preserve">One-tap proof of delivery: a large camera or QR scanner trigger used at collection points and at auction floor or market drop-offs to unlock escrow funds</t>
  </si>
  <si>
    <t xml:space="preserve">FR12.11</t>
  </si>
  <si>
    <t xml:space="preserve">Risk Portfolio Heatmap: a macro view of all funded farmers colour-coded by performance health…</t>
  </si>
  <si>
    <t xml:space="preserve">Risk Portfolio Heatmap: a macro view of all funded farmers colour-coded by performance health (green on track, yellow minor crop stress, red default or side-marketing risk)</t>
  </si>
  <si>
    <t xml:space="preserve">FR12.12</t>
  </si>
  <si>
    <t xml:space="preserve">Automated Waterfall Dashboard: live tallies of input loan recoveries arriving from auction floor sales</t>
  </si>
  <si>
    <t xml:space="preserve">FR12.13</t>
  </si>
  <si>
    <t xml:space="preserve">Other lenses (regulator, auction floor, retailer, agent, and so on) follow the same design system and layout pattern</t>
  </si>
  <si>
    <t xml:space="preserve">FR12.14</t>
  </si>
  <si>
    <t xml:space="preserve">Zero training required: if a farmer can use WhatsApp or mobile money, they can navigate Transfarmation</t>
  </si>
  <si>
    <t xml:space="preserve">Zero training required: if a farmer can use WhatsApp or mobile money, they can navigate Transfarmation; text is minimised, and icons, voice input, and visual colour-coding lead</t>
  </si>
  <si>
    <t xml:space="preserve">FR12.15</t>
  </si>
  <si>
    <t xml:space="preserve">Native Shona and Ndebele toggles across all agronomy, financial, and transport prompts (see NFR3)</t>
  </si>
  <si>
    <t xml:space="preserve">FR12.16</t>
  </si>
  <si>
    <t xml:space="preserve">Progressive disclosure: a new user sees only basic features (weather, agronomy, ledger)</t>
  </si>
  <si>
    <t xml:space="preserve">Progressive disclosure: a new user sees only basic features (weather, agronomy, ledger); advanced modules such as Bankable Feasibility and Forward Contracting unlock as the farm profile matures, and can always be opened on request</t>
  </si>
  <si>
    <t xml:space="preserve">FR12.17</t>
  </si>
  <si>
    <t xml:space="preserve">Accessibility: high contrast readable in sunlight</t>
  </si>
  <si>
    <t xml:space="preserve">Accessibility: high contrast readable in sunlight, large touch targets, colour never the only signal, voice input and output, and screen-reader support</t>
  </si>
  <si>
    <t xml:space="preserve">FR13.1</t>
  </si>
  <si>
    <t xml:space="preserve">A Dynamic Multi-Role Switcher on the home screen shows all of the user's active roles and switches between them in one tap…</t>
  </si>
  <si>
    <t xml:space="preserve">A Dynamic Multi-Role Switcher on the home screen shows all of the user's active roles and switches between them in one tap (this replaces the single-role toggle in FR12.2)</t>
  </si>
  <si>
    <t xml:space="preserve">Multi-Role</t>
  </si>
  <si>
    <t xml:space="preserve">FR13.2</t>
  </si>
  <si>
    <t xml:space="preserve">An optional combined home view merges tasks</t>
  </si>
  <si>
    <t xml:space="preserve">An optional combined home view merges tasks, alerts, and metrics across roles, each tagged by role, for users who act in several roles at once</t>
  </si>
  <si>
    <t xml:space="preserve">FR13.3</t>
  </si>
  <si>
    <t xml:space="preserve">The active role is always visible</t>
  </si>
  <si>
    <t xml:space="preserve">The active role is always visible, and every transaction is recorded under the role it belongs to, to prevent mistakes such as booking freight as a farmer when acting as a transporter</t>
  </si>
  <si>
    <t xml:space="preserve">FR13.4</t>
  </si>
  <si>
    <t xml:space="preserve">Adding a role is a simple guided step with role-specific verification…</t>
  </si>
  <si>
    <t xml:space="preserve">Adding a role is a simple guided step with role-specific verification (for example driver's licence and vehicle for a transporter, identity checks for an agent, business registration for a service provider); users start with the roles they qualify for and add others later, in line with progressive disclosure in FR12.16</t>
  </si>
  <si>
    <t xml:space="preserve">FR13.5</t>
  </si>
  <si>
    <t xml:space="preserve">One account and one digital ID per person; roles are profiles of the person, not separate accounts</t>
  </si>
  <si>
    <t xml:space="preserve">FR13.6</t>
  </si>
  <si>
    <t xml:space="preserve">Permissions, data, and workspace are defined per role</t>
  </si>
  <si>
    <t xml:space="preserve">Permissions, data, and workspace are defined per role, and every action is checked against the role it is performed in, with least privilege</t>
  </si>
  <si>
    <t xml:space="preserve">FR13.7</t>
  </si>
  <si>
    <t xml:space="preserve">Separate books per role: ledger entries are tagged by role so farm</t>
  </si>
  <si>
    <t xml:space="preserve">Separate books per role: ledger entries are tagged by role so farm, freight, and service income stay separate, with a consolidated personal net-position view (extends FR8.4)</t>
  </si>
  <si>
    <t xml:space="preserve">FR13.8</t>
  </si>
  <si>
    <t xml:space="preserve">Conflict-of-interest rules stop or flag a user acting on both sides of the same transaction</t>
  </si>
  <si>
    <t xml:space="preserve">Conflict-of-interest rules stop or flag a user acting on both sides of the same transaction, for example a farmer booking their own truck through escrow, an agent approving their own client's loan, or an advisor recommending inputs they sell; required disclosures are recorded</t>
  </si>
  <si>
    <t xml:space="preserve">FR13.9</t>
  </si>
  <si>
    <t xml:space="preserve">With consent, the credit profile combines verified income across roles, which can raise a multi-role user's eligibility</t>
  </si>
  <si>
    <t xml:space="preserve">FR13.10</t>
  </si>
  <si>
    <t xml:space="preserve">Statutory and licence obligations attach to the role…</t>
  </si>
  <si>
    <t xml:space="preserve">Statutory and licence obligations attach to the role (for example a transporter's operator licence, a supplier's tax registration, a grower's TIMB levies), with a consolidated compliance view</t>
  </si>
  <si>
    <t xml:space="preserve">FR13.11</t>
  </si>
  <si>
    <t xml:space="preserve">Roles can be suspended or revoked independently</t>
  </si>
  <si>
    <t xml:space="preserve">Roles can be suspended or revoked independently, so losing a transporter licence does not remove the farmer role, and every role change is logged</t>
  </si>
  <si>
    <t xml:space="preserve">FR13.12</t>
  </si>
  <si>
    <t xml:space="preserve">Consent and data sharing are set per role</t>
  </si>
  <si>
    <t xml:space="preserve">Consent and data sharing are set per role: data shared with a bank for the farming role is not automatically visible to counterparties in the freight role</t>
  </si>
  <si>
    <t xml:space="preserve">FR13.13</t>
  </si>
  <si>
    <t xml:space="preserve">Shared-device support: several people, such as family members, can use one phone with separate PINs and separate profiles</t>
  </si>
  <si>
    <t xml:space="preserve">FR13.14</t>
  </si>
  <si>
    <t xml:space="preserve">Commission and fee handling for informal agents and intermediaries, paid through escrow with itemised statements</t>
  </si>
  <si>
    <t xml:space="preserve">FR15.1</t>
  </si>
  <si>
    <t xml:space="preserve">One person record with a unique platform ID; roles are linked profiles, not separate accounts (see FR13.5)</t>
  </si>
  <si>
    <t xml:space="preserve">Identity Database</t>
  </si>
  <si>
    <t xml:space="preserve">FR15.2</t>
  </si>
  <si>
    <t xml:space="preserve">Identity matching and de-duplication on national ID number</t>
  </si>
  <si>
    <t xml:space="preserve">Identity matching and de-duplication on national ID number, mobile number, and biometric template, with an audited merge process to stop duplicate and ghost accounts</t>
  </si>
  <si>
    <t xml:space="preserve">FR15.3</t>
  </si>
  <si>
    <t xml:space="preserve">Verification level is stored per person and per role, and each role and module states the minimum level it needs</t>
  </si>
  <si>
    <t xml:space="preserve">FR15.4</t>
  </si>
  <si>
    <t xml:space="preserve">Role profile schema with type, status</t>
  </si>
  <si>
    <t xml:space="preserve">Role profile schema with type, status, effective dates, and role-specific attributes (for example vehicle capacity and licence expiry for a transporter, business registration number for a supplier, service area for an agent)</t>
  </si>
  <si>
    <t xml:space="preserve">FR15.5</t>
  </si>
  <si>
    <t xml:space="preserve">Organisation accounts with staff memberships and permission scopes, so a bank, contractor, or floor can manage its own users</t>
  </si>
  <si>
    <t xml:space="preserve">FR15.6</t>
  </si>
  <si>
    <t xml:space="preserve">Delegation and shared-device support: delegations carry a scope and an expiry date</t>
  </si>
  <si>
    <t xml:space="preserve">Delegation and shared-device support: delegations carry a scope and an expiry date, and each person on a shared phone has a separate PIN and profile (see FR13.13)</t>
  </si>
  <si>
    <t xml:space="preserve">FR15.7</t>
  </si>
  <si>
    <t xml:space="preserve">Biometric templates are stored as protected templates or hashes in a separate store</t>
  </si>
  <si>
    <t xml:space="preserve">Biometric templates are stored as protected templates or hashes in a separate store, raw images are not kept, and access is only through the matching service</t>
  </si>
  <si>
    <t xml:space="preserve">FR15.8</t>
  </si>
  <si>
    <t xml:space="preserve">An append-only consent ledger records purpose</t>
  </si>
  <si>
    <t xml:space="preserve">An append-only consent ledger records purpose, role, recipient, language, version, time, and withdrawal for every consent (see FR5.1)</t>
  </si>
  <si>
    <t xml:space="preserve">FR15.9</t>
  </si>
  <si>
    <t xml:space="preserve">Every data record is tagged with its owner person and role</t>
  </si>
  <si>
    <t xml:space="preserve">Every data record is tagged with its owner person and role, and access checks combine role, verification level, and consent (see FR13.6 and FR13.12)</t>
  </si>
  <si>
    <t xml:space="preserve">FR15.10</t>
  </si>
  <si>
    <t xml:space="preserve">Tamper-evident audit logs for identity creation, verification, role changes, delegation, and data access</t>
  </si>
  <si>
    <t xml:space="preserve">FR15.11</t>
  </si>
  <si>
    <t xml:space="preserve">TIMB linkage stores the grower number and sync status, runs a reconciliation job, and flags mismatches for review</t>
  </si>
  <si>
    <t xml:space="preserve">FR15.12</t>
  </si>
  <si>
    <t xml:space="preserve">Offline enrolment captures identity and role data on the device with local encryption</t>
  </si>
  <si>
    <t xml:space="preserve">Offline enrolment captures identity and role data on the device with local encryption, syncs later under the conflict rules in NFR12, and keeps the record pending until verified</t>
  </si>
  <si>
    <t xml:space="preserve">FR15.13</t>
  </si>
  <si>
    <t xml:space="preserve">Account recovery for a lost phone or changed SIM uses agent-assisted verification</t>
  </si>
  <si>
    <t xml:space="preserve">Account recovery for a lost phone or changed SIM uses agent-assisted verification, step-up authentication, SIM-swap checks, and a cooling-off period before high-risk actions</t>
  </si>
  <si>
    <t xml:space="preserve">FR15.14</t>
  </si>
  <si>
    <t xml:space="preserve">Data subject rights: export, correction, and deletion, subject to legal retention (see FR5.2)</t>
  </si>
  <si>
    <t xml:space="preserve">FR15.15</t>
  </si>
  <si>
    <t xml:space="preserve">Standards-based integration: OAuth 2.0 and OpenID Connect for sign-in and partner access</t>
  </si>
  <si>
    <t xml:space="preserve">Standards-based integration: OAuth 2.0 and OpenID Connect for sign-in and partner access, and APIs to national ID, TIMB, and mobile money KYC where available (see NFR8)</t>
  </si>
  <si>
    <t xml:space="preserve">FR15.16</t>
  </si>
  <si>
    <t xml:space="preserve">Pseudonymised identifiers for aggregate analytics, so government and research views cannot identify individuals (see FR9.11)</t>
  </si>
  <si>
    <t xml:space="preserve">FR15.17</t>
  </si>
  <si>
    <t xml:space="preserve">Sized for the 500 pilot participants but designed for millions of persons, with defined targets for sign-in speed and availability</t>
  </si>
  <si>
    <t xml:space="preserve">FR16.1</t>
  </si>
  <si>
    <t xml:space="preserve">Offline agent app with a guided step-by-step flow that can be paused and resumed</t>
  </si>
  <si>
    <t xml:space="preserve">Onboarding</t>
  </si>
  <si>
    <t xml:space="preserve">FR16.2</t>
  </si>
  <si>
    <t xml:space="preserve">Read-aloud audio for every screen and consent line in English, Shona, and Ndebele</t>
  </si>
  <si>
    <t xml:space="preserve">FR16.3</t>
  </si>
  <si>
    <t xml:space="preserve">Consent capture with language, version, time, and agent ID, stored in the consent ledger (FR15.8)</t>
  </si>
  <si>
    <t xml:space="preserve">FR16.4</t>
  </si>
  <si>
    <t xml:space="preserve">A teach-back check that the agent must complete before basic consent is accepted</t>
  </si>
  <si>
    <t xml:space="preserve">FR16.5</t>
  </si>
  <si>
    <t xml:space="preserve">GPS boundary capture with an accuracy indicator and a warning when accuracy is poor</t>
  </si>
  <si>
    <t xml:space="preserve">FR16.6</t>
  </si>
  <si>
    <t xml:space="preserve">Role questions that start each role's verification path and show what is still needed (FR13.4)</t>
  </si>
  <si>
    <t xml:space="preserve">FR16.7</t>
  </si>
  <si>
    <t xml:space="preserve">Household and shared-phone setup with a separate PIN per person (FR13.13)</t>
  </si>
  <si>
    <t xml:space="preserve">FR16.8</t>
  </si>
  <si>
    <t xml:space="preserve">SMS or printed confirmation slip with the farmer's ID, language, and helpline</t>
  </si>
  <si>
    <t xml:space="preserve">FR16.9</t>
  </si>
  <si>
    <t xml:space="preserve">Agent dashboard showing onboardings, completion rate, verification level reached, and quality-check results</t>
  </si>
  <si>
    <t xml:space="preserve">NFR1</t>
  </si>
  <si>
    <t xml:space="preserve">Offline-first. Module 1's core farm profiling and feasibility generation must function without network connectivity</t>
  </si>
  <si>
    <t xml:space="preserve">Offline-first. Module 1's core farm profiling and feasibility generation must function without network connectivity, syncing when a connection becomes available</t>
  </si>
  <si>
    <t xml:space="preserve">Platform (Non-Functional)</t>
  </si>
  <si>
    <t xml:space="preserve">NFR2</t>
  </si>
  <si>
    <t xml:space="preserve">Security. Digital contracts and biometric data must be cryptographically secured end to end</t>
  </si>
  <si>
    <t xml:space="preserve">NFR3</t>
  </si>
  <si>
    <t xml:space="preserve">Localization. All contract terms and key UI content available in Shona and Ndebele, in addition to English</t>
  </si>
  <si>
    <t xml:space="preserve">NFR4</t>
  </si>
  <si>
    <t xml:space="preserve">Low-bandwidth resilience. Suitable for rural connectivity conditions typical of communal farming areas</t>
  </si>
  <si>
    <t xml:space="preserve">NFR5</t>
  </si>
  <si>
    <t xml:space="preserve">Auditability. Grower registration, levy deductions, and compliance clearances must be traceable for regulatory audit</t>
  </si>
  <si>
    <t xml:space="preserve">NFR6</t>
  </si>
  <si>
    <t xml:space="preserve">Interoperability. Must integrate with TIMB's existing Biometric Grower Registration System and mapping standards without…</t>
  </si>
  <si>
    <t xml:space="preserve">Interoperability. Must integrate with TIMB's existing Biometric Grower Registration System and mapping standards without requiring TIMB to replace its own systems</t>
  </si>
  <si>
    <t xml:space="preserve">NFR7</t>
  </si>
  <si>
    <t xml:space="preserve">Scalability. Cloud-native, multi-tenant architecture able to scale from a single pilot vertical (tobacco, Zimbabwe) to…</t>
  </si>
  <si>
    <t xml:space="preserve">Scalability. Cloud-native, multi-tenant architecture able to scale from a single pilot vertical (tobacco, Zimbabwe) to additional crops and countries without re-architecture</t>
  </si>
  <si>
    <t xml:space="preserve">NFR8</t>
  </si>
  <si>
    <t xml:space="preserve">API-first design. Well-documented APIs for TIMB, banks, payment processors, and future third-party integrations</t>
  </si>
  <si>
    <t xml:space="preserve">NFR9</t>
  </si>
  <si>
    <t xml:space="preserve">Data privacy &amp; protection. Compliance with Zimbabwe's Cyber and Data Protection Act and relevant regional data-protection…</t>
  </si>
  <si>
    <t xml:space="preserve">Data privacy &amp; protection. Compliance with Zimbabwe's Cyber and Data Protection Act and relevant regional data-protection regulation, with farmer biometric and financial data encrypted at rest and in transit</t>
  </si>
  <si>
    <t xml:space="preserve">NFR10</t>
  </si>
  <si>
    <t xml:space="preserve">Payment security. PCI-DSS-aligned handling for any card/mobile-money payment flows introduced by the ecommerce/marketplace layer</t>
  </si>
  <si>
    <t xml:space="preserve">NFR11</t>
  </si>
  <si>
    <t xml:space="preserve">Role-based access control. Distinct permission levels for farmers, advisors, bankers, regulators, agents, and administrators</t>
  </si>
  <si>
    <t xml:space="preserve">NFR12</t>
  </si>
  <si>
    <t xml:space="preserve">Offline-sync conflict resolution. Deterministic merge rules when offline-captured farm/module data reconciles with the server…</t>
  </si>
  <si>
    <t xml:space="preserve">Offline-sync conflict resolution. Deterministic merge rules when offline-captured farm/module data reconciles with the server on reconnect</t>
  </si>
  <si>
    <t xml:space="preserve">NFR13</t>
  </si>
  <si>
    <t xml:space="preserve">Availability &amp; disaster recovery. Defined uptime target for transacting modules (offtake sign-off, payments) plus…</t>
  </si>
  <si>
    <t xml:space="preserve">Availability &amp; disaster recovery. Defined uptime target for transacting modules (offtake sign-off, payments) plus backup/restore procedures for farmer and compliance data</t>
  </si>
  <si>
    <t xml:space="preserve">NFR14</t>
  </si>
  <si>
    <t xml:space="preserve">Analytics &amp; reporting. Dashboards/exports to satisfy government and regulator statutory reporting obligations</t>
  </si>
  <si>
    <t xml:space="preserve">NFR15</t>
  </si>
  <si>
    <t xml:space="preserve">Accessibility. Usable on low-cost Android devices and by low-literacy users</t>
  </si>
  <si>
    <t xml:space="preserve">Accessibility. Usable on low-cost Android devices and by low-literacy users, consistent with the plain-language/local-language requirement in Module 1</t>
  </si>
  <si>
    <t xml:space="preserve">NFR16</t>
  </si>
  <si>
    <t xml:space="preserve">Multi-currency support. USD and local currency handling for financial and marketplace transactions</t>
  </si>
  <si>
    <t xml:space="preserve">NFR17</t>
  </si>
  <si>
    <t xml:space="preserve">Erasure-compatible architecture, with personal data kept out of immutable ledgers (see GDPR section)</t>
  </si>
  <si>
    <t xml:space="preserve">NFR18</t>
  </si>
  <si>
    <t xml:space="preserve">Data protection impact assessment completed before each biometric or credit-scoring release</t>
  </si>
  <si>
    <t xml:space="preserve">NFR19</t>
  </si>
  <si>
    <t xml:space="preserve">Transfer register and Standard Contractual Clauses for EU-related data flows</t>
  </si>
  <si>
    <t xml:space="preserve">FR5.1</t>
  </si>
  <si>
    <t xml:space="preserve">Consent capture and withdrawal for each data use, with a timestamped consent record</t>
  </si>
  <si>
    <t xml:space="preserve">Privacy &amp; Data Protection</t>
  </si>
  <si>
    <t xml:space="preserve">FR5.2</t>
  </si>
  <si>
    <t xml:space="preserve">Self-service data access, correction, export, and deletion requests</t>
  </si>
  <si>
    <t xml:space="preserve">FR5.3</t>
  </si>
  <si>
    <t xml:space="preserve">Human review path and explanation view for any automated credit or compliance decision</t>
  </si>
  <si>
    <t xml:space="preserve">Requirements by module and priority</t>
  </si>
  <si>
    <t xml:space="preserve">Total</t>
  </si>
  <si>
    <t xml:space="preserve">Requirements by phase and priority</t>
  </si>
  <si>
    <t xml:space="preserve">Item</t>
  </si>
  <si>
    <t xml:space="preserve">Meaning</t>
  </si>
  <si>
    <t xml:space="preserve">Must = needed for the pilot or for legal and statutory compliance; Should = important but not blocking; Could = later or optional</t>
  </si>
  <si>
    <t xml:space="preserve">1 standalone farmer tools; 2 regulatory and compliance gateways; 3 logistics and escrow; 4 offtakers and retailers; Post-pilot = after the Cluster-Zero pilot</t>
  </si>
  <si>
    <t xml:space="preserve">Make Transfarmation indispensable to the individual communal farmer without network effects</t>
  </si>
  <si>
    <t xml:space="preserve">Replace opaque paper contract farming with a transparent, financeable digital process</t>
  </si>
  <si>
    <t xml:space="preserve">Reduce side-marketing losses through biometric grower and GPS verification</t>
  </si>
  <si>
    <t xml:space="preserve">Automate statutory levy collection and environmental compliance at point of sale</t>
  </si>
  <si>
    <t xml:space="preserve">De-risk input financing for banks and merchants with real-time credit-scoring data</t>
  </si>
  <si>
    <t xml:space="preserve">Prove a reusable module architecture that extends to horticulture and other verticals</t>
  </si>
  <si>
    <t xml:space="preserve">Cross-cutting requirement that supports every objective</t>
  </si>
  <si>
    <t xml:space="preserve">Note</t>
  </si>
  <si>
    <t xml:space="preserve">Priority and phase are proposals made when drafting the BRD, based on the roadmap and feature prioritization; review them with the team before build. Edit the Matrix sheet and the Summary sheet updates by formula.</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</si>
</sst>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2"/>
      <name val="Arial"/>
      <family val="0"/>
      <charset val="1"/>
    </font>
    <font>
      <b val="true"/>
      <sz val="10"/>
      <name val="Arial"/>
      <family val="0"/>
      <charset val="1"/>
    </font>
  </fonts>
  <fills count="3">
    <fill>
      <patternFill patternType="none"/>
    </fill>
    <fill>
      <patternFill patternType="gray125"/>
    </fill>
    <fill>
      <patternFill patternType="solid">
        <fgColor rgb="FF1B5E3B"/>
        <bgColor rgb="FF008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5E3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5E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5"/>
    <col collapsed="false" customWidth="true" hidden="false" outlineLevel="0" max="3" min="3" style="0" width="90"/>
    <col collapsed="false" customWidth="true" hidden="false" outlineLevel="0" max="4" min="4" style="0" width="32"/>
    <col collapsed="false" customWidth="true" hidden="false" outlineLevel="0" max="5" min="5" style="0" width="11"/>
    <col collapsed="false" customWidth="true" hidden="false" outlineLevel="0" max="6" min="6" style="0" width="10"/>
    <col collapsed="false" customWidth="true" hidden="false" outlineLevel="0" max="7" min="7" style="0" width="12"/>
  </cols>
  <sheetData>
    <row r="1" customFormat="false" ht="15" hidden="false" customHeight="false" outlineLevel="0" collapsed="false">
      <c r="A1" s="1" t="s">
        <v>0</v>
      </c>
      <c r="B1" s="1" t="s">
        <v>1</v>
      </c>
      <c r="C1" s="1" t="s">
        <v>2</v>
      </c>
      <c r="D1" s="1" t="s">
        <v>3</v>
      </c>
      <c r="E1" s="1" t="s">
        <v>4</v>
      </c>
      <c r="F1" s="1" t="s">
        <v>5</v>
      </c>
      <c r="G1" s="1" t="s">
        <v>6</v>
      </c>
    </row>
    <row r="2" customFormat="false" ht="23.85" hidden="false" customHeight="false" outlineLevel="0" collapsed="false">
      <c r="A2" s="2" t="s">
        <v>7</v>
      </c>
      <c r="B2" s="2" t="s">
        <v>8</v>
      </c>
      <c r="C2" s="2" t="s">
        <v>8</v>
      </c>
      <c r="D2" s="2" t="s">
        <v>9</v>
      </c>
      <c r="E2" s="2" t="s">
        <v>10</v>
      </c>
      <c r="F2" s="2" t="s">
        <v>11</v>
      </c>
      <c r="G2" s="2" t="s">
        <v>12</v>
      </c>
    </row>
    <row r="3" customFormat="false" ht="23.85" hidden="false" customHeight="false" outlineLevel="0" collapsed="false">
      <c r="A3" s="2" t="s">
        <v>13</v>
      </c>
      <c r="B3" s="2" t="s">
        <v>14</v>
      </c>
      <c r="C3" s="2" t="s">
        <v>15</v>
      </c>
      <c r="D3" s="2" t="s">
        <v>9</v>
      </c>
      <c r="E3" s="2" t="s">
        <v>10</v>
      </c>
      <c r="F3" s="2" t="s">
        <v>11</v>
      </c>
      <c r="G3" s="2" t="s">
        <v>12</v>
      </c>
    </row>
    <row r="4" customFormat="false" ht="23.85" hidden="false" customHeight="false" outlineLevel="0" collapsed="false">
      <c r="A4" s="2" t="s">
        <v>16</v>
      </c>
      <c r="B4" s="2" t="s">
        <v>17</v>
      </c>
      <c r="C4" s="2" t="s">
        <v>18</v>
      </c>
      <c r="D4" s="2" t="s">
        <v>9</v>
      </c>
      <c r="E4" s="2" t="s">
        <v>10</v>
      </c>
      <c r="F4" s="2" t="s">
        <v>11</v>
      </c>
      <c r="G4" s="2" t="s">
        <v>12</v>
      </c>
    </row>
    <row r="5" customFormat="false" ht="23.85" hidden="false" customHeight="false" outlineLevel="0" collapsed="false">
      <c r="A5" s="2" t="s">
        <v>19</v>
      </c>
      <c r="B5" s="2" t="s">
        <v>20</v>
      </c>
      <c r="C5" s="2" t="s">
        <v>20</v>
      </c>
      <c r="D5" s="2" t="s">
        <v>9</v>
      </c>
      <c r="E5" s="2" t="s">
        <v>21</v>
      </c>
      <c r="F5" s="2" t="s">
        <v>11</v>
      </c>
      <c r="G5" s="2" t="s">
        <v>22</v>
      </c>
    </row>
    <row r="6" customFormat="false" ht="23.85" hidden="false" customHeight="false" outlineLevel="0" collapsed="false">
      <c r="A6" s="2" t="s">
        <v>23</v>
      </c>
      <c r="B6" s="2" t="s">
        <v>24</v>
      </c>
      <c r="C6" s="2" t="s">
        <v>24</v>
      </c>
      <c r="D6" s="2" t="s">
        <v>9</v>
      </c>
      <c r="E6" s="2" t="s">
        <v>21</v>
      </c>
      <c r="F6" s="2" t="s">
        <v>11</v>
      </c>
      <c r="G6" s="2" t="s">
        <v>22</v>
      </c>
    </row>
    <row r="7" customFormat="false" ht="23.85" hidden="false" customHeight="false" outlineLevel="0" collapsed="false">
      <c r="A7" s="2" t="s">
        <v>25</v>
      </c>
      <c r="B7" s="2" t="s">
        <v>26</v>
      </c>
      <c r="C7" s="2" t="s">
        <v>26</v>
      </c>
      <c r="D7" s="2" t="s">
        <v>9</v>
      </c>
      <c r="E7" s="2" t="s">
        <v>21</v>
      </c>
      <c r="F7" s="2" t="s">
        <v>11</v>
      </c>
      <c r="G7" s="2" t="s">
        <v>22</v>
      </c>
    </row>
    <row r="8" customFormat="false" ht="23.85" hidden="false" customHeight="false" outlineLevel="0" collapsed="false">
      <c r="A8" s="2" t="s">
        <v>27</v>
      </c>
      <c r="B8" s="2" t="s">
        <v>28</v>
      </c>
      <c r="C8" s="2" t="s">
        <v>29</v>
      </c>
      <c r="D8" s="2" t="s">
        <v>9</v>
      </c>
      <c r="E8" s="2" t="s">
        <v>30</v>
      </c>
      <c r="F8" s="2" t="s">
        <v>11</v>
      </c>
      <c r="G8" s="2" t="s">
        <v>22</v>
      </c>
    </row>
    <row r="9" customFormat="false" ht="23.85" hidden="false" customHeight="false" outlineLevel="0" collapsed="false">
      <c r="A9" s="2" t="s">
        <v>31</v>
      </c>
      <c r="B9" s="2" t="s">
        <v>32</v>
      </c>
      <c r="C9" s="2" t="s">
        <v>33</v>
      </c>
      <c r="D9" s="2" t="s">
        <v>9</v>
      </c>
      <c r="E9" s="2" t="s">
        <v>10</v>
      </c>
      <c r="F9" s="2" t="s">
        <v>34</v>
      </c>
      <c r="G9" s="2" t="s">
        <v>12</v>
      </c>
    </row>
    <row r="10" customFormat="false" ht="23.85" hidden="false" customHeight="false" outlineLevel="0" collapsed="false">
      <c r="A10" s="2" t="s">
        <v>35</v>
      </c>
      <c r="B10" s="2" t="s">
        <v>36</v>
      </c>
      <c r="C10" s="2" t="s">
        <v>37</v>
      </c>
      <c r="D10" s="2" t="s">
        <v>9</v>
      </c>
      <c r="E10" s="2" t="s">
        <v>10</v>
      </c>
      <c r="F10" s="2" t="s">
        <v>11</v>
      </c>
      <c r="G10" s="2" t="s">
        <v>12</v>
      </c>
    </row>
    <row r="11" customFormat="false" ht="23.85" hidden="false" customHeight="false" outlineLevel="0" collapsed="false">
      <c r="A11" s="2" t="s">
        <v>38</v>
      </c>
      <c r="B11" s="2" t="s">
        <v>39</v>
      </c>
      <c r="C11" s="2" t="s">
        <v>40</v>
      </c>
      <c r="D11" s="2" t="s">
        <v>9</v>
      </c>
      <c r="E11" s="2" t="s">
        <v>10</v>
      </c>
      <c r="F11" s="2" t="s">
        <v>34</v>
      </c>
      <c r="G11" s="2" t="s">
        <v>12</v>
      </c>
    </row>
    <row r="12" customFormat="false" ht="23.85" hidden="false" customHeight="false" outlineLevel="0" collapsed="false">
      <c r="A12" s="2" t="s">
        <v>41</v>
      </c>
      <c r="B12" s="2" t="s">
        <v>42</v>
      </c>
      <c r="C12" s="2" t="s">
        <v>43</v>
      </c>
      <c r="D12" s="2" t="s">
        <v>9</v>
      </c>
      <c r="E12" s="2" t="s">
        <v>30</v>
      </c>
      <c r="F12" s="2" t="s">
        <v>34</v>
      </c>
      <c r="G12" s="2" t="s">
        <v>22</v>
      </c>
    </row>
    <row r="13" customFormat="false" ht="23.85" hidden="false" customHeight="false" outlineLevel="0" collapsed="false">
      <c r="A13" s="2" t="s">
        <v>44</v>
      </c>
      <c r="B13" s="2" t="s">
        <v>45</v>
      </c>
      <c r="C13" s="2" t="s">
        <v>46</v>
      </c>
      <c r="D13" s="2" t="s">
        <v>9</v>
      </c>
      <c r="E13" s="2" t="s">
        <v>21</v>
      </c>
      <c r="F13" s="2" t="s">
        <v>34</v>
      </c>
      <c r="G13" s="2" t="s">
        <v>22</v>
      </c>
    </row>
    <row r="14" customFormat="false" ht="23.85" hidden="false" customHeight="false" outlineLevel="0" collapsed="false">
      <c r="A14" s="2" t="s">
        <v>47</v>
      </c>
      <c r="B14" s="2" t="s">
        <v>48</v>
      </c>
      <c r="C14" s="2" t="s">
        <v>48</v>
      </c>
      <c r="D14" s="2" t="s">
        <v>9</v>
      </c>
      <c r="E14" s="2" t="s">
        <v>21</v>
      </c>
      <c r="F14" s="2" t="s">
        <v>34</v>
      </c>
      <c r="G14" s="2" t="s">
        <v>22</v>
      </c>
    </row>
    <row r="15" customFormat="false" ht="23.85" hidden="false" customHeight="false" outlineLevel="0" collapsed="false">
      <c r="A15" s="2" t="s">
        <v>49</v>
      </c>
      <c r="B15" s="2" t="s">
        <v>50</v>
      </c>
      <c r="C15" s="2" t="s">
        <v>51</v>
      </c>
      <c r="D15" s="2" t="s">
        <v>9</v>
      </c>
      <c r="E15" s="2" t="s">
        <v>21</v>
      </c>
      <c r="F15" s="2" t="s">
        <v>34</v>
      </c>
      <c r="G15" s="2" t="s">
        <v>22</v>
      </c>
    </row>
    <row r="16" customFormat="false" ht="23.85" hidden="false" customHeight="false" outlineLevel="0" collapsed="false">
      <c r="A16" s="2" t="s">
        <v>52</v>
      </c>
      <c r="B16" s="2" t="s">
        <v>53</v>
      </c>
      <c r="C16" s="2" t="s">
        <v>53</v>
      </c>
      <c r="D16" s="2" t="s">
        <v>9</v>
      </c>
      <c r="E16" s="2" t="s">
        <v>30</v>
      </c>
      <c r="F16" s="2" t="s">
        <v>34</v>
      </c>
      <c r="G16" s="2" t="s">
        <v>22</v>
      </c>
    </row>
    <row r="17" customFormat="false" ht="23.85" hidden="false" customHeight="false" outlineLevel="0" collapsed="false">
      <c r="A17" s="2" t="s">
        <v>54</v>
      </c>
      <c r="B17" s="2" t="s">
        <v>55</v>
      </c>
      <c r="C17" s="2" t="s">
        <v>55</v>
      </c>
      <c r="D17" s="2" t="s">
        <v>9</v>
      </c>
      <c r="E17" s="2" t="s">
        <v>30</v>
      </c>
      <c r="F17" s="2" t="s">
        <v>34</v>
      </c>
      <c r="G17" s="2" t="s">
        <v>12</v>
      </c>
    </row>
    <row r="18" customFormat="false" ht="23.85" hidden="false" customHeight="false" outlineLevel="0" collapsed="false">
      <c r="A18" s="2" t="s">
        <v>56</v>
      </c>
      <c r="B18" s="2" t="s">
        <v>57</v>
      </c>
      <c r="C18" s="2" t="s">
        <v>57</v>
      </c>
      <c r="D18" s="2" t="s">
        <v>9</v>
      </c>
      <c r="E18" s="2" t="s">
        <v>58</v>
      </c>
      <c r="F18" s="2" t="s">
        <v>34</v>
      </c>
      <c r="G18" s="2" t="s">
        <v>59</v>
      </c>
    </row>
    <row r="19" customFormat="false" ht="23.85" hidden="false" customHeight="false" outlineLevel="0" collapsed="false">
      <c r="A19" s="2" t="s">
        <v>60</v>
      </c>
      <c r="B19" s="2" t="s">
        <v>61</v>
      </c>
      <c r="C19" s="2" t="s">
        <v>61</v>
      </c>
      <c r="D19" s="2" t="s">
        <v>62</v>
      </c>
      <c r="E19" s="2" t="s">
        <v>63</v>
      </c>
      <c r="F19" s="2" t="s">
        <v>11</v>
      </c>
      <c r="G19" s="2" t="s">
        <v>64</v>
      </c>
    </row>
    <row r="20" customFormat="false" ht="23.85" hidden="false" customHeight="false" outlineLevel="0" collapsed="false">
      <c r="A20" s="2" t="s">
        <v>65</v>
      </c>
      <c r="B20" s="2" t="s">
        <v>66</v>
      </c>
      <c r="C20" s="2" t="s">
        <v>66</v>
      </c>
      <c r="D20" s="2" t="s">
        <v>62</v>
      </c>
      <c r="E20" s="2" t="s">
        <v>63</v>
      </c>
      <c r="F20" s="2" t="s">
        <v>11</v>
      </c>
      <c r="G20" s="2" t="s">
        <v>64</v>
      </c>
    </row>
    <row r="21" customFormat="false" ht="23.85" hidden="false" customHeight="false" outlineLevel="0" collapsed="false">
      <c r="A21" s="2" t="s">
        <v>67</v>
      </c>
      <c r="B21" s="2" t="s">
        <v>68</v>
      </c>
      <c r="C21" s="2" t="s">
        <v>68</v>
      </c>
      <c r="D21" s="2" t="s">
        <v>62</v>
      </c>
      <c r="E21" s="2" t="s">
        <v>63</v>
      </c>
      <c r="F21" s="2" t="s">
        <v>11</v>
      </c>
      <c r="G21" s="2" t="s">
        <v>64</v>
      </c>
    </row>
    <row r="22" customFormat="false" ht="23.85" hidden="false" customHeight="false" outlineLevel="0" collapsed="false">
      <c r="A22" s="2" t="s">
        <v>69</v>
      </c>
      <c r="B22" s="2" t="s">
        <v>70</v>
      </c>
      <c r="C22" s="2" t="s">
        <v>70</v>
      </c>
      <c r="D22" s="2" t="s">
        <v>62</v>
      </c>
      <c r="E22" s="2" t="s">
        <v>63</v>
      </c>
      <c r="F22" s="2" t="s">
        <v>11</v>
      </c>
      <c r="G22" s="2" t="s">
        <v>64</v>
      </c>
    </row>
    <row r="23" customFormat="false" ht="23.85" hidden="false" customHeight="false" outlineLevel="0" collapsed="false">
      <c r="A23" s="2" t="s">
        <v>71</v>
      </c>
      <c r="B23" s="2" t="s">
        <v>72</v>
      </c>
      <c r="C23" s="2" t="s">
        <v>72</v>
      </c>
      <c r="D23" s="2" t="s">
        <v>62</v>
      </c>
      <c r="E23" s="2" t="s">
        <v>73</v>
      </c>
      <c r="F23" s="2" t="s">
        <v>11</v>
      </c>
      <c r="G23" s="2" t="s">
        <v>64</v>
      </c>
    </row>
    <row r="24" customFormat="false" ht="23.85" hidden="false" customHeight="false" outlineLevel="0" collapsed="false">
      <c r="A24" s="2" t="s">
        <v>74</v>
      </c>
      <c r="B24" s="2" t="s">
        <v>75</v>
      </c>
      <c r="C24" s="2" t="s">
        <v>76</v>
      </c>
      <c r="D24" s="2" t="s">
        <v>62</v>
      </c>
      <c r="E24" s="2" t="s">
        <v>73</v>
      </c>
      <c r="F24" s="2" t="s">
        <v>34</v>
      </c>
      <c r="G24" s="2" t="s">
        <v>64</v>
      </c>
    </row>
    <row r="25" customFormat="false" ht="23.85" hidden="false" customHeight="false" outlineLevel="0" collapsed="false">
      <c r="A25" s="2" t="s">
        <v>77</v>
      </c>
      <c r="B25" s="2" t="s">
        <v>78</v>
      </c>
      <c r="C25" s="2" t="s">
        <v>78</v>
      </c>
      <c r="D25" s="2" t="s">
        <v>62</v>
      </c>
      <c r="E25" s="2" t="s">
        <v>73</v>
      </c>
      <c r="F25" s="2" t="s">
        <v>34</v>
      </c>
      <c r="G25" s="2" t="s">
        <v>64</v>
      </c>
    </row>
    <row r="26" customFormat="false" ht="23.85" hidden="false" customHeight="false" outlineLevel="0" collapsed="false">
      <c r="A26" s="2" t="s">
        <v>79</v>
      </c>
      <c r="B26" s="2" t="s">
        <v>80</v>
      </c>
      <c r="C26" s="2" t="s">
        <v>80</v>
      </c>
      <c r="D26" s="2" t="s">
        <v>62</v>
      </c>
      <c r="E26" s="2" t="s">
        <v>10</v>
      </c>
      <c r="F26" s="2" t="s">
        <v>34</v>
      </c>
      <c r="G26" s="2" t="s">
        <v>64</v>
      </c>
    </row>
    <row r="27" customFormat="false" ht="23.85" hidden="false" customHeight="false" outlineLevel="0" collapsed="false">
      <c r="A27" s="2" t="s">
        <v>81</v>
      </c>
      <c r="B27" s="2" t="s">
        <v>82</v>
      </c>
      <c r="C27" s="2" t="s">
        <v>83</v>
      </c>
      <c r="D27" s="2" t="s">
        <v>62</v>
      </c>
      <c r="E27" s="2" t="s">
        <v>63</v>
      </c>
      <c r="F27" s="2" t="s">
        <v>34</v>
      </c>
      <c r="G27" s="2" t="s">
        <v>64</v>
      </c>
    </row>
    <row r="28" customFormat="false" ht="23.85" hidden="false" customHeight="false" outlineLevel="0" collapsed="false">
      <c r="A28" s="2" t="s">
        <v>84</v>
      </c>
      <c r="B28" s="2" t="s">
        <v>85</v>
      </c>
      <c r="C28" s="2" t="s">
        <v>85</v>
      </c>
      <c r="D28" s="2" t="s">
        <v>62</v>
      </c>
      <c r="E28" s="2" t="s">
        <v>21</v>
      </c>
      <c r="F28" s="2" t="s">
        <v>34</v>
      </c>
      <c r="G28" s="2" t="s">
        <v>64</v>
      </c>
    </row>
    <row r="29" customFormat="false" ht="23.85" hidden="false" customHeight="false" outlineLevel="0" collapsed="false">
      <c r="A29" s="2" t="s">
        <v>86</v>
      </c>
      <c r="B29" s="2" t="s">
        <v>87</v>
      </c>
      <c r="C29" s="2" t="s">
        <v>88</v>
      </c>
      <c r="D29" s="2" t="s">
        <v>62</v>
      </c>
      <c r="E29" s="2" t="s">
        <v>63</v>
      </c>
      <c r="F29" s="2" t="s">
        <v>11</v>
      </c>
      <c r="G29" s="2" t="s">
        <v>64</v>
      </c>
    </row>
    <row r="30" customFormat="false" ht="23.85" hidden="false" customHeight="false" outlineLevel="0" collapsed="false">
      <c r="A30" s="2" t="s">
        <v>89</v>
      </c>
      <c r="B30" s="2" t="s">
        <v>90</v>
      </c>
      <c r="C30" s="2" t="s">
        <v>91</v>
      </c>
      <c r="D30" s="2" t="s">
        <v>62</v>
      </c>
      <c r="E30" s="2" t="s">
        <v>63</v>
      </c>
      <c r="F30" s="2" t="s">
        <v>34</v>
      </c>
      <c r="G30" s="2" t="s">
        <v>64</v>
      </c>
    </row>
    <row r="31" customFormat="false" ht="23.85" hidden="false" customHeight="false" outlineLevel="0" collapsed="false">
      <c r="A31" s="2" t="s">
        <v>92</v>
      </c>
      <c r="B31" s="2" t="s">
        <v>93</v>
      </c>
      <c r="C31" s="2" t="s">
        <v>94</v>
      </c>
      <c r="D31" s="2" t="s">
        <v>62</v>
      </c>
      <c r="E31" s="2" t="s">
        <v>63</v>
      </c>
      <c r="F31" s="2" t="s">
        <v>11</v>
      </c>
      <c r="G31" s="2" t="s">
        <v>64</v>
      </c>
    </row>
    <row r="32" customFormat="false" ht="23.85" hidden="false" customHeight="false" outlineLevel="0" collapsed="false">
      <c r="A32" s="2" t="s">
        <v>95</v>
      </c>
      <c r="B32" s="2" t="s">
        <v>96</v>
      </c>
      <c r="C32" s="2" t="s">
        <v>96</v>
      </c>
      <c r="D32" s="2" t="s">
        <v>62</v>
      </c>
      <c r="E32" s="2" t="s">
        <v>73</v>
      </c>
      <c r="F32" s="2" t="s">
        <v>34</v>
      </c>
      <c r="G32" s="2" t="s">
        <v>64</v>
      </c>
    </row>
    <row r="33" customFormat="false" ht="23.85" hidden="false" customHeight="false" outlineLevel="0" collapsed="false">
      <c r="A33" s="2" t="s">
        <v>97</v>
      </c>
      <c r="B33" s="2" t="s">
        <v>98</v>
      </c>
      <c r="C33" s="2" t="s">
        <v>98</v>
      </c>
      <c r="D33" s="2" t="s">
        <v>62</v>
      </c>
      <c r="E33" s="2" t="s">
        <v>73</v>
      </c>
      <c r="F33" s="2" t="s">
        <v>11</v>
      </c>
      <c r="G33" s="2" t="s">
        <v>64</v>
      </c>
    </row>
    <row r="34" customFormat="false" ht="23.85" hidden="false" customHeight="false" outlineLevel="0" collapsed="false">
      <c r="A34" s="2" t="s">
        <v>99</v>
      </c>
      <c r="B34" s="2" t="s">
        <v>100</v>
      </c>
      <c r="C34" s="2" t="s">
        <v>101</v>
      </c>
      <c r="D34" s="2" t="s">
        <v>62</v>
      </c>
      <c r="E34" s="2" t="s">
        <v>73</v>
      </c>
      <c r="F34" s="2" t="s">
        <v>34</v>
      </c>
      <c r="G34" s="2" t="s">
        <v>64</v>
      </c>
    </row>
    <row r="35" customFormat="false" ht="23.85" hidden="false" customHeight="false" outlineLevel="0" collapsed="false">
      <c r="A35" s="2" t="s">
        <v>102</v>
      </c>
      <c r="B35" s="2" t="s">
        <v>103</v>
      </c>
      <c r="C35" s="2" t="s">
        <v>104</v>
      </c>
      <c r="D35" s="2" t="s">
        <v>62</v>
      </c>
      <c r="E35" s="2" t="s">
        <v>73</v>
      </c>
      <c r="F35" s="2" t="s">
        <v>34</v>
      </c>
      <c r="G35" s="2" t="s">
        <v>64</v>
      </c>
    </row>
    <row r="36" customFormat="false" ht="23.85" hidden="false" customHeight="false" outlineLevel="0" collapsed="false">
      <c r="A36" s="2" t="s">
        <v>105</v>
      </c>
      <c r="B36" s="2" t="s">
        <v>106</v>
      </c>
      <c r="C36" s="2" t="s">
        <v>107</v>
      </c>
      <c r="D36" s="2" t="s">
        <v>62</v>
      </c>
      <c r="E36" s="2" t="s">
        <v>73</v>
      </c>
      <c r="F36" s="2" t="s">
        <v>11</v>
      </c>
      <c r="G36" s="2" t="s">
        <v>64</v>
      </c>
    </row>
    <row r="37" customFormat="false" ht="23.85" hidden="false" customHeight="false" outlineLevel="0" collapsed="false">
      <c r="A37" s="2" t="s">
        <v>108</v>
      </c>
      <c r="B37" s="2" t="s">
        <v>109</v>
      </c>
      <c r="C37" s="2" t="s">
        <v>109</v>
      </c>
      <c r="D37" s="2" t="s">
        <v>110</v>
      </c>
      <c r="E37" s="2" t="s">
        <v>58</v>
      </c>
      <c r="F37" s="2" t="s">
        <v>111</v>
      </c>
      <c r="G37" s="2" t="s">
        <v>59</v>
      </c>
    </row>
    <row r="38" customFormat="false" ht="23.85" hidden="false" customHeight="false" outlineLevel="0" collapsed="false">
      <c r="A38" s="2" t="s">
        <v>112</v>
      </c>
      <c r="B38" s="2" t="s">
        <v>113</v>
      </c>
      <c r="C38" s="2" t="s">
        <v>114</v>
      </c>
      <c r="D38" s="2" t="s">
        <v>110</v>
      </c>
      <c r="E38" s="2" t="s">
        <v>58</v>
      </c>
      <c r="F38" s="2" t="s">
        <v>111</v>
      </c>
      <c r="G38" s="2" t="s">
        <v>59</v>
      </c>
    </row>
    <row r="39" customFormat="false" ht="23.85" hidden="false" customHeight="false" outlineLevel="0" collapsed="false">
      <c r="A39" s="2" t="s">
        <v>115</v>
      </c>
      <c r="B39" s="2" t="s">
        <v>116</v>
      </c>
      <c r="C39" s="2" t="s">
        <v>116</v>
      </c>
      <c r="D39" s="2" t="s">
        <v>110</v>
      </c>
      <c r="E39" s="2" t="s">
        <v>58</v>
      </c>
      <c r="F39" s="2" t="s">
        <v>34</v>
      </c>
      <c r="G39" s="2" t="s">
        <v>117</v>
      </c>
    </row>
    <row r="40" customFormat="false" ht="23.85" hidden="false" customHeight="false" outlineLevel="0" collapsed="false">
      <c r="A40" s="2" t="s">
        <v>118</v>
      </c>
      <c r="B40" s="2" t="s">
        <v>119</v>
      </c>
      <c r="C40" s="2" t="s">
        <v>120</v>
      </c>
      <c r="D40" s="2" t="s">
        <v>110</v>
      </c>
      <c r="E40" s="2" t="s">
        <v>58</v>
      </c>
      <c r="F40" s="2" t="s">
        <v>34</v>
      </c>
      <c r="G40" s="2" t="s">
        <v>117</v>
      </c>
    </row>
    <row r="41" customFormat="false" ht="23.85" hidden="false" customHeight="false" outlineLevel="0" collapsed="false">
      <c r="A41" s="2" t="s">
        <v>121</v>
      </c>
      <c r="B41" s="2" t="s">
        <v>122</v>
      </c>
      <c r="C41" s="2" t="s">
        <v>123</v>
      </c>
      <c r="D41" s="2" t="s">
        <v>110</v>
      </c>
      <c r="E41" s="2" t="s">
        <v>58</v>
      </c>
      <c r="F41" s="2" t="s">
        <v>34</v>
      </c>
      <c r="G41" s="2" t="s">
        <v>117</v>
      </c>
    </row>
    <row r="42" customFormat="false" ht="23.85" hidden="false" customHeight="false" outlineLevel="0" collapsed="false">
      <c r="A42" s="2" t="s">
        <v>124</v>
      </c>
      <c r="B42" s="2" t="s">
        <v>125</v>
      </c>
      <c r="C42" s="2" t="s">
        <v>125</v>
      </c>
      <c r="D42" s="2" t="s">
        <v>110</v>
      </c>
      <c r="E42" s="2" t="s">
        <v>58</v>
      </c>
      <c r="F42" s="2" t="s">
        <v>111</v>
      </c>
      <c r="G42" s="2" t="s">
        <v>59</v>
      </c>
    </row>
    <row r="43" customFormat="false" ht="23.85" hidden="false" customHeight="false" outlineLevel="0" collapsed="false">
      <c r="A43" s="2" t="s">
        <v>126</v>
      </c>
      <c r="B43" s="2" t="s">
        <v>127</v>
      </c>
      <c r="C43" s="2" t="s">
        <v>128</v>
      </c>
      <c r="D43" s="2" t="s">
        <v>110</v>
      </c>
      <c r="E43" s="2" t="s">
        <v>58</v>
      </c>
      <c r="F43" s="2" t="s">
        <v>34</v>
      </c>
      <c r="G43" s="2" t="s">
        <v>117</v>
      </c>
    </row>
    <row r="44" customFormat="false" ht="23.85" hidden="false" customHeight="false" outlineLevel="0" collapsed="false">
      <c r="A44" s="2" t="s">
        <v>129</v>
      </c>
      <c r="B44" s="2" t="s">
        <v>130</v>
      </c>
      <c r="C44" s="2" t="s">
        <v>131</v>
      </c>
      <c r="D44" s="2" t="s">
        <v>110</v>
      </c>
      <c r="E44" s="2" t="s">
        <v>58</v>
      </c>
      <c r="F44" s="2" t="s">
        <v>34</v>
      </c>
      <c r="G44" s="2" t="s">
        <v>117</v>
      </c>
    </row>
    <row r="45" customFormat="false" ht="23.85" hidden="false" customHeight="false" outlineLevel="0" collapsed="false">
      <c r="A45" s="2" t="s">
        <v>132</v>
      </c>
      <c r="B45" s="2" t="s">
        <v>133</v>
      </c>
      <c r="C45" s="2" t="s">
        <v>133</v>
      </c>
      <c r="D45" s="2" t="s">
        <v>110</v>
      </c>
      <c r="E45" s="2" t="s">
        <v>58</v>
      </c>
      <c r="F45" s="2" t="s">
        <v>34</v>
      </c>
      <c r="G45" s="2" t="s">
        <v>117</v>
      </c>
    </row>
    <row r="46" customFormat="false" ht="23.85" hidden="false" customHeight="false" outlineLevel="0" collapsed="false">
      <c r="A46" s="2" t="s">
        <v>134</v>
      </c>
      <c r="B46" s="2" t="s">
        <v>135</v>
      </c>
      <c r="C46" s="2" t="s">
        <v>135</v>
      </c>
      <c r="D46" s="2" t="s">
        <v>110</v>
      </c>
      <c r="E46" s="2" t="s">
        <v>58</v>
      </c>
      <c r="F46" s="2" t="s">
        <v>34</v>
      </c>
      <c r="G46" s="2" t="s">
        <v>117</v>
      </c>
    </row>
    <row r="47" customFormat="false" ht="23.85" hidden="false" customHeight="false" outlineLevel="0" collapsed="false">
      <c r="A47" s="2" t="s">
        <v>136</v>
      </c>
      <c r="B47" s="2" t="s">
        <v>137</v>
      </c>
      <c r="C47" s="2" t="s">
        <v>137</v>
      </c>
      <c r="D47" s="2" t="s">
        <v>110</v>
      </c>
      <c r="E47" s="2" t="s">
        <v>58</v>
      </c>
      <c r="F47" s="2" t="s">
        <v>111</v>
      </c>
      <c r="G47" s="2" t="s">
        <v>59</v>
      </c>
    </row>
    <row r="48" customFormat="false" ht="23.85" hidden="false" customHeight="false" outlineLevel="0" collapsed="false">
      <c r="A48" s="2" t="s">
        <v>138</v>
      </c>
      <c r="B48" s="2" t="s">
        <v>139</v>
      </c>
      <c r="C48" s="2" t="s">
        <v>140</v>
      </c>
      <c r="D48" s="2" t="s">
        <v>110</v>
      </c>
      <c r="E48" s="2" t="s">
        <v>58</v>
      </c>
      <c r="F48" s="2" t="s">
        <v>34</v>
      </c>
      <c r="G48" s="2" t="s">
        <v>117</v>
      </c>
    </row>
    <row r="49" customFormat="false" ht="23.85" hidden="false" customHeight="false" outlineLevel="0" collapsed="false">
      <c r="A49" s="2" t="s">
        <v>141</v>
      </c>
      <c r="B49" s="2" t="s">
        <v>142</v>
      </c>
      <c r="C49" s="2" t="s">
        <v>142</v>
      </c>
      <c r="D49" s="2" t="s">
        <v>110</v>
      </c>
      <c r="E49" s="2" t="s">
        <v>58</v>
      </c>
      <c r="F49" s="2" t="s">
        <v>111</v>
      </c>
      <c r="G49" s="2" t="s">
        <v>59</v>
      </c>
    </row>
    <row r="50" customFormat="false" ht="23.85" hidden="false" customHeight="false" outlineLevel="0" collapsed="false">
      <c r="A50" s="2" t="s">
        <v>143</v>
      </c>
      <c r="B50" s="2" t="s">
        <v>144</v>
      </c>
      <c r="C50" s="2" t="s">
        <v>144</v>
      </c>
      <c r="D50" s="2" t="s">
        <v>110</v>
      </c>
      <c r="E50" s="2" t="s">
        <v>21</v>
      </c>
      <c r="F50" s="2" t="s">
        <v>111</v>
      </c>
      <c r="G50" s="2" t="s">
        <v>59</v>
      </c>
    </row>
    <row r="51" customFormat="false" ht="23.85" hidden="false" customHeight="false" outlineLevel="0" collapsed="false">
      <c r="A51" s="2" t="s">
        <v>145</v>
      </c>
      <c r="B51" s="2" t="s">
        <v>146</v>
      </c>
      <c r="C51" s="2" t="s">
        <v>146</v>
      </c>
      <c r="D51" s="2" t="s">
        <v>147</v>
      </c>
      <c r="E51" s="2" t="s">
        <v>10</v>
      </c>
      <c r="F51" s="2" t="s">
        <v>34</v>
      </c>
      <c r="G51" s="2" t="s">
        <v>12</v>
      </c>
    </row>
    <row r="52" customFormat="false" ht="23.85" hidden="false" customHeight="false" outlineLevel="0" collapsed="false">
      <c r="A52" s="2" t="s">
        <v>148</v>
      </c>
      <c r="B52" s="2" t="s">
        <v>149</v>
      </c>
      <c r="C52" s="2" t="s">
        <v>150</v>
      </c>
      <c r="D52" s="2" t="s">
        <v>147</v>
      </c>
      <c r="E52" s="2" t="s">
        <v>10</v>
      </c>
      <c r="F52" s="2" t="s">
        <v>34</v>
      </c>
      <c r="G52" s="2" t="s">
        <v>12</v>
      </c>
    </row>
    <row r="53" customFormat="false" ht="23.85" hidden="false" customHeight="false" outlineLevel="0" collapsed="false">
      <c r="A53" s="2" t="s">
        <v>151</v>
      </c>
      <c r="B53" s="2" t="s">
        <v>152</v>
      </c>
      <c r="C53" s="2" t="s">
        <v>152</v>
      </c>
      <c r="D53" s="2" t="s">
        <v>153</v>
      </c>
      <c r="E53" s="2" t="s">
        <v>10</v>
      </c>
      <c r="F53" s="2" t="s">
        <v>11</v>
      </c>
      <c r="G53" s="2" t="s">
        <v>12</v>
      </c>
    </row>
    <row r="54" customFormat="false" ht="23.85" hidden="false" customHeight="false" outlineLevel="0" collapsed="false">
      <c r="A54" s="2" t="s">
        <v>154</v>
      </c>
      <c r="B54" s="2" t="s">
        <v>155</v>
      </c>
      <c r="C54" s="2" t="s">
        <v>156</v>
      </c>
      <c r="D54" s="2" t="s">
        <v>153</v>
      </c>
      <c r="E54" s="2" t="s">
        <v>30</v>
      </c>
      <c r="F54" s="2" t="s">
        <v>11</v>
      </c>
      <c r="G54" s="2" t="s">
        <v>12</v>
      </c>
    </row>
    <row r="55" customFormat="false" ht="23.85" hidden="false" customHeight="false" outlineLevel="0" collapsed="false">
      <c r="A55" s="2" t="s">
        <v>157</v>
      </c>
      <c r="B55" s="2" t="s">
        <v>158</v>
      </c>
      <c r="C55" s="2" t="s">
        <v>158</v>
      </c>
      <c r="D55" s="2" t="s">
        <v>159</v>
      </c>
      <c r="E55" s="2" t="s">
        <v>10</v>
      </c>
      <c r="F55" s="2" t="s">
        <v>111</v>
      </c>
      <c r="G55" s="2" t="s">
        <v>59</v>
      </c>
    </row>
    <row r="56" customFormat="false" ht="23.85" hidden="false" customHeight="false" outlineLevel="0" collapsed="false">
      <c r="A56" s="2" t="s">
        <v>160</v>
      </c>
      <c r="B56" s="2" t="s">
        <v>161</v>
      </c>
      <c r="C56" s="2" t="s">
        <v>162</v>
      </c>
      <c r="D56" s="2" t="s">
        <v>159</v>
      </c>
      <c r="E56" s="2" t="s">
        <v>10</v>
      </c>
      <c r="F56" s="2" t="s">
        <v>111</v>
      </c>
      <c r="G56" s="2" t="s">
        <v>59</v>
      </c>
    </row>
    <row r="57" customFormat="false" ht="15" hidden="false" customHeight="false" outlineLevel="0" collapsed="false">
      <c r="A57" s="2" t="s">
        <v>163</v>
      </c>
      <c r="B57" s="2" t="s">
        <v>164</v>
      </c>
      <c r="C57" s="2" t="s">
        <v>164</v>
      </c>
      <c r="D57" s="2" t="s">
        <v>165</v>
      </c>
      <c r="E57" s="2" t="s">
        <v>10</v>
      </c>
      <c r="F57" s="2" t="s">
        <v>34</v>
      </c>
      <c r="G57" s="2" t="s">
        <v>22</v>
      </c>
    </row>
    <row r="58" customFormat="false" ht="23.85" hidden="false" customHeight="false" outlineLevel="0" collapsed="false">
      <c r="A58" s="2" t="s">
        <v>166</v>
      </c>
      <c r="B58" s="2" t="s">
        <v>167</v>
      </c>
      <c r="C58" s="2" t="s">
        <v>167</v>
      </c>
      <c r="D58" s="2" t="s">
        <v>165</v>
      </c>
      <c r="E58" s="2" t="s">
        <v>10</v>
      </c>
      <c r="F58" s="2" t="s">
        <v>34</v>
      </c>
      <c r="G58" s="2" t="s">
        <v>22</v>
      </c>
    </row>
    <row r="59" customFormat="false" ht="23.85" hidden="false" customHeight="false" outlineLevel="0" collapsed="false">
      <c r="A59" s="2" t="s">
        <v>168</v>
      </c>
      <c r="B59" s="2" t="s">
        <v>169</v>
      </c>
      <c r="C59" s="2" t="s">
        <v>169</v>
      </c>
      <c r="D59" s="2" t="s">
        <v>170</v>
      </c>
      <c r="E59" s="2" t="s">
        <v>58</v>
      </c>
      <c r="F59" s="2" t="s">
        <v>111</v>
      </c>
      <c r="G59" s="2" t="s">
        <v>59</v>
      </c>
    </row>
    <row r="60" customFormat="false" ht="23.85" hidden="false" customHeight="false" outlineLevel="0" collapsed="false">
      <c r="A60" s="2" t="s">
        <v>171</v>
      </c>
      <c r="B60" s="2" t="s">
        <v>172</v>
      </c>
      <c r="C60" s="2" t="s">
        <v>173</v>
      </c>
      <c r="D60" s="2" t="s">
        <v>170</v>
      </c>
      <c r="E60" s="2" t="s">
        <v>58</v>
      </c>
      <c r="F60" s="2" t="s">
        <v>111</v>
      </c>
      <c r="G60" s="2" t="s">
        <v>59</v>
      </c>
    </row>
    <row r="61" customFormat="false" ht="23.85" hidden="false" customHeight="false" outlineLevel="0" collapsed="false">
      <c r="A61" s="2" t="s">
        <v>174</v>
      </c>
      <c r="B61" s="2" t="s">
        <v>175</v>
      </c>
      <c r="C61" s="2" t="s">
        <v>176</v>
      </c>
      <c r="D61" s="2" t="s">
        <v>177</v>
      </c>
      <c r="E61" s="2" t="s">
        <v>58</v>
      </c>
      <c r="F61" s="2" t="s">
        <v>111</v>
      </c>
      <c r="G61" s="2" t="s">
        <v>59</v>
      </c>
    </row>
    <row r="62" customFormat="false" ht="23.85" hidden="false" customHeight="false" outlineLevel="0" collapsed="false">
      <c r="A62" s="2" t="s">
        <v>178</v>
      </c>
      <c r="B62" s="2" t="s">
        <v>179</v>
      </c>
      <c r="C62" s="2" t="s">
        <v>180</v>
      </c>
      <c r="D62" s="2" t="s">
        <v>177</v>
      </c>
      <c r="E62" s="2" t="s">
        <v>58</v>
      </c>
      <c r="F62" s="2" t="s">
        <v>111</v>
      </c>
      <c r="G62" s="2" t="s">
        <v>59</v>
      </c>
    </row>
    <row r="63" customFormat="false" ht="23.85" hidden="false" customHeight="false" outlineLevel="0" collapsed="false">
      <c r="A63" s="2" t="s">
        <v>181</v>
      </c>
      <c r="B63" s="2" t="s">
        <v>182</v>
      </c>
      <c r="C63" s="2" t="s">
        <v>182</v>
      </c>
      <c r="D63" s="2" t="s">
        <v>147</v>
      </c>
      <c r="E63" s="2" t="s">
        <v>10</v>
      </c>
      <c r="F63" s="2" t="s">
        <v>11</v>
      </c>
      <c r="G63" s="2" t="s">
        <v>12</v>
      </c>
    </row>
    <row r="64" customFormat="false" ht="35.05" hidden="false" customHeight="false" outlineLevel="0" collapsed="false">
      <c r="A64" s="2" t="s">
        <v>183</v>
      </c>
      <c r="B64" s="2" t="s">
        <v>184</v>
      </c>
      <c r="C64" s="2" t="s">
        <v>185</v>
      </c>
      <c r="D64" s="2" t="s">
        <v>147</v>
      </c>
      <c r="E64" s="2" t="s">
        <v>10</v>
      </c>
      <c r="F64" s="2" t="s">
        <v>11</v>
      </c>
      <c r="G64" s="2" t="s">
        <v>12</v>
      </c>
    </row>
    <row r="65" customFormat="false" ht="23.85" hidden="false" customHeight="false" outlineLevel="0" collapsed="false">
      <c r="A65" s="2" t="s">
        <v>186</v>
      </c>
      <c r="B65" s="2" t="s">
        <v>187</v>
      </c>
      <c r="C65" s="2" t="s">
        <v>188</v>
      </c>
      <c r="D65" s="2" t="s">
        <v>147</v>
      </c>
      <c r="E65" s="2" t="s">
        <v>10</v>
      </c>
      <c r="F65" s="2" t="s">
        <v>34</v>
      </c>
      <c r="G65" s="2" t="s">
        <v>12</v>
      </c>
    </row>
    <row r="66" customFormat="false" ht="15" hidden="false" customHeight="false" outlineLevel="0" collapsed="false">
      <c r="A66" s="2" t="s">
        <v>189</v>
      </c>
      <c r="B66" s="2" t="s">
        <v>190</v>
      </c>
      <c r="C66" s="2" t="s">
        <v>190</v>
      </c>
      <c r="D66" s="2" t="s">
        <v>147</v>
      </c>
      <c r="E66" s="2" t="s">
        <v>10</v>
      </c>
      <c r="F66" s="2" t="s">
        <v>34</v>
      </c>
      <c r="G66" s="2" t="s">
        <v>12</v>
      </c>
    </row>
    <row r="67" customFormat="false" ht="23.85" hidden="false" customHeight="false" outlineLevel="0" collapsed="false">
      <c r="A67" s="2" t="s">
        <v>191</v>
      </c>
      <c r="B67" s="2" t="s">
        <v>192</v>
      </c>
      <c r="C67" s="2" t="s">
        <v>193</v>
      </c>
      <c r="D67" s="2" t="s">
        <v>147</v>
      </c>
      <c r="E67" s="2" t="s">
        <v>10</v>
      </c>
      <c r="F67" s="2" t="s">
        <v>34</v>
      </c>
      <c r="G67" s="2" t="s">
        <v>12</v>
      </c>
    </row>
    <row r="68" customFormat="false" ht="23.85" hidden="false" customHeight="false" outlineLevel="0" collapsed="false">
      <c r="A68" s="2" t="s">
        <v>194</v>
      </c>
      <c r="B68" s="2" t="s">
        <v>195</v>
      </c>
      <c r="C68" s="2" t="s">
        <v>195</v>
      </c>
      <c r="D68" s="2" t="s">
        <v>147</v>
      </c>
      <c r="E68" s="2" t="s">
        <v>10</v>
      </c>
      <c r="F68" s="2" t="s">
        <v>34</v>
      </c>
      <c r="G68" s="2" t="s">
        <v>12</v>
      </c>
    </row>
    <row r="69" customFormat="false" ht="23.85" hidden="false" customHeight="false" outlineLevel="0" collapsed="false">
      <c r="A69" s="2" t="s">
        <v>196</v>
      </c>
      <c r="B69" s="2" t="s">
        <v>197</v>
      </c>
      <c r="C69" s="2" t="s">
        <v>197</v>
      </c>
      <c r="D69" s="2" t="s">
        <v>147</v>
      </c>
      <c r="E69" s="2" t="s">
        <v>10</v>
      </c>
      <c r="F69" s="2" t="s">
        <v>111</v>
      </c>
      <c r="G69" s="2" t="s">
        <v>59</v>
      </c>
    </row>
    <row r="70" customFormat="false" ht="23.85" hidden="false" customHeight="false" outlineLevel="0" collapsed="false">
      <c r="A70" s="2" t="s">
        <v>198</v>
      </c>
      <c r="B70" s="2" t="s">
        <v>199</v>
      </c>
      <c r="C70" s="2" t="s">
        <v>200</v>
      </c>
      <c r="D70" s="2" t="s">
        <v>147</v>
      </c>
      <c r="E70" s="2" t="s">
        <v>10</v>
      </c>
      <c r="F70" s="2" t="s">
        <v>11</v>
      </c>
      <c r="G70" s="2" t="s">
        <v>12</v>
      </c>
    </row>
    <row r="71" customFormat="false" ht="23.85" hidden="false" customHeight="false" outlineLevel="0" collapsed="false">
      <c r="A71" s="2" t="s">
        <v>201</v>
      </c>
      <c r="B71" s="2" t="s">
        <v>202</v>
      </c>
      <c r="C71" s="2" t="s">
        <v>203</v>
      </c>
      <c r="D71" s="2" t="s">
        <v>147</v>
      </c>
      <c r="E71" s="2" t="s">
        <v>10</v>
      </c>
      <c r="F71" s="2" t="s">
        <v>11</v>
      </c>
      <c r="G71" s="2" t="s">
        <v>12</v>
      </c>
    </row>
    <row r="72" customFormat="false" ht="23.85" hidden="false" customHeight="false" outlineLevel="0" collapsed="false">
      <c r="A72" s="2" t="s">
        <v>204</v>
      </c>
      <c r="B72" s="2" t="s">
        <v>205</v>
      </c>
      <c r="C72" s="2" t="s">
        <v>205</v>
      </c>
      <c r="D72" s="2" t="s">
        <v>147</v>
      </c>
      <c r="E72" s="2" t="s">
        <v>10</v>
      </c>
      <c r="F72" s="2" t="s">
        <v>11</v>
      </c>
      <c r="G72" s="2" t="s">
        <v>12</v>
      </c>
    </row>
    <row r="73" customFormat="false" ht="23.85" hidden="false" customHeight="false" outlineLevel="0" collapsed="false">
      <c r="A73" s="2" t="s">
        <v>206</v>
      </c>
      <c r="B73" s="2" t="s">
        <v>207</v>
      </c>
      <c r="C73" s="2" t="s">
        <v>208</v>
      </c>
      <c r="D73" s="2" t="s">
        <v>147</v>
      </c>
      <c r="E73" s="2" t="s">
        <v>30</v>
      </c>
      <c r="F73" s="2" t="s">
        <v>34</v>
      </c>
      <c r="G73" s="2" t="s">
        <v>22</v>
      </c>
    </row>
    <row r="74" customFormat="false" ht="15" hidden="false" customHeight="false" outlineLevel="0" collapsed="false">
      <c r="A74" s="2" t="s">
        <v>209</v>
      </c>
      <c r="B74" s="2" t="s">
        <v>210</v>
      </c>
      <c r="C74" s="2" t="s">
        <v>210</v>
      </c>
      <c r="D74" s="2" t="s">
        <v>147</v>
      </c>
      <c r="E74" s="2" t="s">
        <v>30</v>
      </c>
      <c r="F74" s="2" t="s">
        <v>34</v>
      </c>
      <c r="G74" s="2" t="s">
        <v>22</v>
      </c>
    </row>
    <row r="75" customFormat="false" ht="23.85" hidden="false" customHeight="false" outlineLevel="0" collapsed="false">
      <c r="A75" s="2" t="s">
        <v>211</v>
      </c>
      <c r="B75" s="2" t="s">
        <v>212</v>
      </c>
      <c r="C75" s="2" t="s">
        <v>213</v>
      </c>
      <c r="D75" s="2" t="s">
        <v>147</v>
      </c>
      <c r="E75" s="2" t="s">
        <v>73</v>
      </c>
      <c r="F75" s="2" t="s">
        <v>34</v>
      </c>
      <c r="G75" s="2" t="s">
        <v>64</v>
      </c>
    </row>
    <row r="76" customFormat="false" ht="23.85" hidden="false" customHeight="false" outlineLevel="0" collapsed="false">
      <c r="A76" s="2" t="s">
        <v>214</v>
      </c>
      <c r="B76" s="2" t="s">
        <v>215</v>
      </c>
      <c r="C76" s="2" t="s">
        <v>216</v>
      </c>
      <c r="D76" s="2" t="s">
        <v>147</v>
      </c>
      <c r="E76" s="2" t="s">
        <v>30</v>
      </c>
      <c r="F76" s="2" t="s">
        <v>34</v>
      </c>
      <c r="G76" s="2" t="s">
        <v>22</v>
      </c>
    </row>
    <row r="77" customFormat="false" ht="23.85" hidden="false" customHeight="false" outlineLevel="0" collapsed="false">
      <c r="A77" s="2" t="s">
        <v>217</v>
      </c>
      <c r="B77" s="2" t="s">
        <v>218</v>
      </c>
      <c r="C77" s="2" t="s">
        <v>218</v>
      </c>
      <c r="D77" s="2" t="s">
        <v>165</v>
      </c>
      <c r="E77" s="2" t="s">
        <v>10</v>
      </c>
      <c r="F77" s="2" t="s">
        <v>11</v>
      </c>
      <c r="G77" s="2" t="s">
        <v>22</v>
      </c>
    </row>
    <row r="78" customFormat="false" ht="23.85" hidden="false" customHeight="false" outlineLevel="0" collapsed="false">
      <c r="A78" s="2" t="s">
        <v>219</v>
      </c>
      <c r="B78" s="2" t="s">
        <v>220</v>
      </c>
      <c r="C78" s="2" t="s">
        <v>220</v>
      </c>
      <c r="D78" s="2" t="s">
        <v>165</v>
      </c>
      <c r="E78" s="2" t="s">
        <v>10</v>
      </c>
      <c r="F78" s="2" t="s">
        <v>11</v>
      </c>
      <c r="G78" s="2" t="s">
        <v>22</v>
      </c>
    </row>
    <row r="79" customFormat="false" ht="23.85" hidden="false" customHeight="false" outlineLevel="0" collapsed="false">
      <c r="A79" s="2" t="s">
        <v>221</v>
      </c>
      <c r="B79" s="2" t="s">
        <v>222</v>
      </c>
      <c r="C79" s="2" t="s">
        <v>222</v>
      </c>
      <c r="D79" s="2" t="s">
        <v>165</v>
      </c>
      <c r="E79" s="2" t="s">
        <v>10</v>
      </c>
      <c r="F79" s="2" t="s">
        <v>11</v>
      </c>
      <c r="G79" s="2" t="s">
        <v>22</v>
      </c>
    </row>
    <row r="80" customFormat="false" ht="23.85" hidden="false" customHeight="false" outlineLevel="0" collapsed="false">
      <c r="A80" s="2" t="s">
        <v>223</v>
      </c>
      <c r="B80" s="2" t="s">
        <v>224</v>
      </c>
      <c r="C80" s="2" t="s">
        <v>224</v>
      </c>
      <c r="D80" s="2" t="s">
        <v>165</v>
      </c>
      <c r="E80" s="2" t="s">
        <v>30</v>
      </c>
      <c r="F80" s="2" t="s">
        <v>11</v>
      </c>
      <c r="G80" s="2" t="s">
        <v>22</v>
      </c>
    </row>
    <row r="81" customFormat="false" ht="23.85" hidden="false" customHeight="false" outlineLevel="0" collapsed="false">
      <c r="A81" s="2" t="s">
        <v>225</v>
      </c>
      <c r="B81" s="2" t="s">
        <v>226</v>
      </c>
      <c r="C81" s="2" t="s">
        <v>226</v>
      </c>
      <c r="D81" s="2" t="s">
        <v>165</v>
      </c>
      <c r="E81" s="2" t="s">
        <v>30</v>
      </c>
      <c r="F81" s="2" t="s">
        <v>11</v>
      </c>
      <c r="G81" s="2" t="s">
        <v>22</v>
      </c>
    </row>
    <row r="82" customFormat="false" ht="23.85" hidden="false" customHeight="false" outlineLevel="0" collapsed="false">
      <c r="A82" s="2" t="s">
        <v>227</v>
      </c>
      <c r="B82" s="2" t="s">
        <v>228</v>
      </c>
      <c r="C82" s="2" t="s">
        <v>228</v>
      </c>
      <c r="D82" s="2" t="s">
        <v>165</v>
      </c>
      <c r="E82" s="2" t="s">
        <v>63</v>
      </c>
      <c r="F82" s="2" t="s">
        <v>11</v>
      </c>
      <c r="G82" s="2" t="s">
        <v>22</v>
      </c>
    </row>
    <row r="83" customFormat="false" ht="23.85" hidden="false" customHeight="false" outlineLevel="0" collapsed="false">
      <c r="A83" s="2" t="s">
        <v>229</v>
      </c>
      <c r="B83" s="2" t="s">
        <v>230</v>
      </c>
      <c r="C83" s="2" t="s">
        <v>230</v>
      </c>
      <c r="D83" s="2" t="s">
        <v>165</v>
      </c>
      <c r="E83" s="2" t="s">
        <v>10</v>
      </c>
      <c r="F83" s="2" t="s">
        <v>34</v>
      </c>
      <c r="G83" s="2" t="s">
        <v>22</v>
      </c>
    </row>
    <row r="84" customFormat="false" ht="23.85" hidden="false" customHeight="false" outlineLevel="0" collapsed="false">
      <c r="A84" s="2" t="s">
        <v>231</v>
      </c>
      <c r="B84" s="2" t="s">
        <v>232</v>
      </c>
      <c r="C84" s="2" t="s">
        <v>232</v>
      </c>
      <c r="D84" s="2" t="s">
        <v>165</v>
      </c>
      <c r="E84" s="2" t="s">
        <v>10</v>
      </c>
      <c r="F84" s="2" t="s">
        <v>11</v>
      </c>
      <c r="G84" s="2" t="s">
        <v>22</v>
      </c>
    </row>
    <row r="85" customFormat="false" ht="23.85" hidden="false" customHeight="false" outlineLevel="0" collapsed="false">
      <c r="A85" s="2" t="s">
        <v>233</v>
      </c>
      <c r="B85" s="2" t="s">
        <v>234</v>
      </c>
      <c r="C85" s="2" t="s">
        <v>234</v>
      </c>
      <c r="D85" s="2" t="s">
        <v>165</v>
      </c>
      <c r="E85" s="2" t="s">
        <v>10</v>
      </c>
      <c r="F85" s="2" t="s">
        <v>34</v>
      </c>
      <c r="G85" s="2" t="s">
        <v>22</v>
      </c>
    </row>
    <row r="86" customFormat="false" ht="23.85" hidden="false" customHeight="false" outlineLevel="0" collapsed="false">
      <c r="A86" s="2" t="s">
        <v>235</v>
      </c>
      <c r="B86" s="2" t="s">
        <v>236</v>
      </c>
      <c r="C86" s="2" t="s">
        <v>236</v>
      </c>
      <c r="D86" s="2" t="s">
        <v>165</v>
      </c>
      <c r="E86" s="2" t="s">
        <v>10</v>
      </c>
      <c r="F86" s="2" t="s">
        <v>111</v>
      </c>
      <c r="G86" s="2" t="s">
        <v>59</v>
      </c>
    </row>
    <row r="87" customFormat="false" ht="15" hidden="false" customHeight="false" outlineLevel="0" collapsed="false">
      <c r="A87" s="2" t="s">
        <v>237</v>
      </c>
      <c r="B87" s="2" t="s">
        <v>238</v>
      </c>
      <c r="C87" s="2" t="s">
        <v>238</v>
      </c>
      <c r="D87" s="2" t="s">
        <v>165</v>
      </c>
      <c r="E87" s="2" t="s">
        <v>10</v>
      </c>
      <c r="F87" s="2" t="s">
        <v>34</v>
      </c>
      <c r="G87" s="2" t="s">
        <v>22</v>
      </c>
    </row>
    <row r="88" customFormat="false" ht="23.85" hidden="false" customHeight="false" outlineLevel="0" collapsed="false">
      <c r="A88" s="2" t="s">
        <v>239</v>
      </c>
      <c r="B88" s="2" t="s">
        <v>240</v>
      </c>
      <c r="C88" s="2" t="s">
        <v>240</v>
      </c>
      <c r="D88" s="2" t="s">
        <v>165</v>
      </c>
      <c r="E88" s="2" t="s">
        <v>10</v>
      </c>
      <c r="F88" s="2" t="s">
        <v>111</v>
      </c>
      <c r="G88" s="2" t="s">
        <v>59</v>
      </c>
    </row>
    <row r="89" customFormat="false" ht="23.85" hidden="false" customHeight="false" outlineLevel="0" collapsed="false">
      <c r="A89" s="2" t="s">
        <v>241</v>
      </c>
      <c r="B89" s="2" t="s">
        <v>242</v>
      </c>
      <c r="C89" s="2" t="s">
        <v>243</v>
      </c>
      <c r="D89" s="2" t="s">
        <v>165</v>
      </c>
      <c r="E89" s="2" t="s">
        <v>10</v>
      </c>
      <c r="F89" s="2" t="s">
        <v>11</v>
      </c>
      <c r="G89" s="2" t="s">
        <v>22</v>
      </c>
    </row>
    <row r="90" customFormat="false" ht="23.85" hidden="false" customHeight="false" outlineLevel="0" collapsed="false">
      <c r="A90" s="2" t="s">
        <v>244</v>
      </c>
      <c r="B90" s="2" t="s">
        <v>245</v>
      </c>
      <c r="C90" s="2" t="s">
        <v>246</v>
      </c>
      <c r="D90" s="2" t="s">
        <v>165</v>
      </c>
      <c r="E90" s="2" t="s">
        <v>10</v>
      </c>
      <c r="F90" s="2" t="s">
        <v>34</v>
      </c>
      <c r="G90" s="2" t="s">
        <v>22</v>
      </c>
    </row>
    <row r="91" customFormat="false" ht="23.85" hidden="false" customHeight="false" outlineLevel="0" collapsed="false">
      <c r="A91" s="2" t="s">
        <v>247</v>
      </c>
      <c r="B91" s="2" t="s">
        <v>248</v>
      </c>
      <c r="C91" s="2" t="s">
        <v>249</v>
      </c>
      <c r="D91" s="2" t="s">
        <v>165</v>
      </c>
      <c r="E91" s="2" t="s">
        <v>10</v>
      </c>
      <c r="F91" s="2" t="s">
        <v>11</v>
      </c>
      <c r="G91" s="2" t="s">
        <v>22</v>
      </c>
    </row>
    <row r="92" customFormat="false" ht="23.85" hidden="false" customHeight="false" outlineLevel="0" collapsed="false">
      <c r="A92" s="2" t="s">
        <v>250</v>
      </c>
      <c r="B92" s="2" t="s">
        <v>251</v>
      </c>
      <c r="C92" s="2" t="s">
        <v>252</v>
      </c>
      <c r="D92" s="2" t="s">
        <v>165</v>
      </c>
      <c r="E92" s="2" t="s">
        <v>10</v>
      </c>
      <c r="F92" s="2" t="s">
        <v>34</v>
      </c>
      <c r="G92" s="2" t="s">
        <v>22</v>
      </c>
    </row>
    <row r="93" customFormat="false" ht="23.85" hidden="false" customHeight="false" outlineLevel="0" collapsed="false">
      <c r="A93" s="2" t="s">
        <v>253</v>
      </c>
      <c r="B93" s="2" t="s">
        <v>254</v>
      </c>
      <c r="C93" s="2" t="s">
        <v>254</v>
      </c>
      <c r="D93" s="2" t="s">
        <v>165</v>
      </c>
      <c r="E93" s="2" t="s">
        <v>10</v>
      </c>
      <c r="F93" s="2" t="s">
        <v>111</v>
      </c>
      <c r="G93" s="2" t="s">
        <v>59</v>
      </c>
    </row>
    <row r="94" customFormat="false" ht="23.85" hidden="false" customHeight="false" outlineLevel="0" collapsed="false">
      <c r="A94" s="2" t="s">
        <v>255</v>
      </c>
      <c r="B94" s="2" t="s">
        <v>256</v>
      </c>
      <c r="C94" s="2" t="s">
        <v>257</v>
      </c>
      <c r="D94" s="2" t="s">
        <v>165</v>
      </c>
      <c r="E94" s="2" t="s">
        <v>58</v>
      </c>
      <c r="F94" s="2" t="s">
        <v>111</v>
      </c>
      <c r="G94" s="2" t="s">
        <v>59</v>
      </c>
    </row>
    <row r="95" customFormat="false" ht="23.85" hidden="false" customHeight="false" outlineLevel="0" collapsed="false">
      <c r="A95" s="2" t="s">
        <v>258</v>
      </c>
      <c r="B95" s="2" t="s">
        <v>259</v>
      </c>
      <c r="C95" s="2" t="s">
        <v>259</v>
      </c>
      <c r="D95" s="2" t="s">
        <v>165</v>
      </c>
      <c r="E95" s="2" t="s">
        <v>10</v>
      </c>
      <c r="F95" s="2" t="s">
        <v>34</v>
      </c>
      <c r="G95" s="2" t="s">
        <v>22</v>
      </c>
    </row>
    <row r="96" customFormat="false" ht="23.85" hidden="false" customHeight="false" outlineLevel="0" collapsed="false">
      <c r="A96" s="2" t="s">
        <v>260</v>
      </c>
      <c r="B96" s="2" t="s">
        <v>261</v>
      </c>
      <c r="C96" s="2" t="s">
        <v>262</v>
      </c>
      <c r="D96" s="2" t="s">
        <v>165</v>
      </c>
      <c r="E96" s="2" t="s">
        <v>63</v>
      </c>
      <c r="F96" s="2" t="s">
        <v>11</v>
      </c>
      <c r="G96" s="2" t="s">
        <v>22</v>
      </c>
    </row>
    <row r="97" customFormat="false" ht="23.85" hidden="false" customHeight="false" outlineLevel="0" collapsed="false">
      <c r="A97" s="2" t="s">
        <v>263</v>
      </c>
      <c r="B97" s="2" t="s">
        <v>264</v>
      </c>
      <c r="C97" s="2" t="s">
        <v>264</v>
      </c>
      <c r="D97" s="2" t="s">
        <v>165</v>
      </c>
      <c r="E97" s="2" t="s">
        <v>10</v>
      </c>
      <c r="F97" s="2" t="s">
        <v>34</v>
      </c>
      <c r="G97" s="2" t="s">
        <v>22</v>
      </c>
    </row>
    <row r="98" customFormat="false" ht="23.85" hidden="false" customHeight="false" outlineLevel="0" collapsed="false">
      <c r="A98" s="2" t="s">
        <v>265</v>
      </c>
      <c r="B98" s="2" t="s">
        <v>266</v>
      </c>
      <c r="C98" s="2" t="s">
        <v>266</v>
      </c>
      <c r="D98" s="2" t="s">
        <v>153</v>
      </c>
      <c r="E98" s="2" t="s">
        <v>10</v>
      </c>
      <c r="F98" s="2" t="s">
        <v>11</v>
      </c>
      <c r="G98" s="2" t="s">
        <v>12</v>
      </c>
    </row>
    <row r="99" customFormat="false" ht="23.85" hidden="false" customHeight="false" outlineLevel="0" collapsed="false">
      <c r="A99" s="2" t="s">
        <v>267</v>
      </c>
      <c r="B99" s="2" t="s">
        <v>268</v>
      </c>
      <c r="C99" s="2" t="s">
        <v>269</v>
      </c>
      <c r="D99" s="2" t="s">
        <v>153</v>
      </c>
      <c r="E99" s="2" t="s">
        <v>10</v>
      </c>
      <c r="F99" s="2" t="s">
        <v>34</v>
      </c>
      <c r="G99" s="2" t="s">
        <v>12</v>
      </c>
    </row>
    <row r="100" customFormat="false" ht="35.05" hidden="false" customHeight="false" outlineLevel="0" collapsed="false">
      <c r="A100" s="2" t="s">
        <v>270</v>
      </c>
      <c r="B100" s="2" t="s">
        <v>271</v>
      </c>
      <c r="C100" s="2" t="s">
        <v>272</v>
      </c>
      <c r="D100" s="2" t="s">
        <v>153</v>
      </c>
      <c r="E100" s="2" t="s">
        <v>10</v>
      </c>
      <c r="F100" s="2" t="s">
        <v>34</v>
      </c>
      <c r="G100" s="2" t="s">
        <v>12</v>
      </c>
    </row>
    <row r="101" customFormat="false" ht="23.85" hidden="false" customHeight="false" outlineLevel="0" collapsed="false">
      <c r="A101" s="2" t="s">
        <v>273</v>
      </c>
      <c r="B101" s="2" t="s">
        <v>274</v>
      </c>
      <c r="C101" s="2" t="s">
        <v>274</v>
      </c>
      <c r="D101" s="2" t="s">
        <v>153</v>
      </c>
      <c r="E101" s="2" t="s">
        <v>10</v>
      </c>
      <c r="F101" s="2" t="s">
        <v>111</v>
      </c>
      <c r="G101" s="2" t="s">
        <v>64</v>
      </c>
    </row>
    <row r="102" customFormat="false" ht="23.85" hidden="false" customHeight="false" outlineLevel="0" collapsed="false">
      <c r="A102" s="2" t="s">
        <v>275</v>
      </c>
      <c r="B102" s="2" t="s">
        <v>276</v>
      </c>
      <c r="C102" s="2" t="s">
        <v>276</v>
      </c>
      <c r="D102" s="2" t="s">
        <v>153</v>
      </c>
      <c r="E102" s="2" t="s">
        <v>10</v>
      </c>
      <c r="F102" s="2" t="s">
        <v>34</v>
      </c>
      <c r="G102" s="2" t="s">
        <v>22</v>
      </c>
    </row>
    <row r="103" customFormat="false" ht="23.85" hidden="false" customHeight="false" outlineLevel="0" collapsed="false">
      <c r="A103" s="2" t="s">
        <v>277</v>
      </c>
      <c r="B103" s="2" t="s">
        <v>278</v>
      </c>
      <c r="C103" s="2" t="s">
        <v>278</v>
      </c>
      <c r="D103" s="2" t="s">
        <v>153</v>
      </c>
      <c r="E103" s="2" t="s">
        <v>10</v>
      </c>
      <c r="F103" s="2" t="s">
        <v>11</v>
      </c>
      <c r="G103" s="2" t="s">
        <v>12</v>
      </c>
    </row>
    <row r="104" customFormat="false" ht="23.85" hidden="false" customHeight="false" outlineLevel="0" collapsed="false">
      <c r="A104" s="2" t="s">
        <v>279</v>
      </c>
      <c r="B104" s="2" t="s">
        <v>280</v>
      </c>
      <c r="C104" s="2" t="s">
        <v>280</v>
      </c>
      <c r="D104" s="2" t="s">
        <v>153</v>
      </c>
      <c r="E104" s="2" t="s">
        <v>10</v>
      </c>
      <c r="F104" s="2" t="s">
        <v>11</v>
      </c>
      <c r="G104" s="2" t="s">
        <v>12</v>
      </c>
    </row>
    <row r="105" customFormat="false" ht="23.85" hidden="false" customHeight="false" outlineLevel="0" collapsed="false">
      <c r="A105" s="2" t="s">
        <v>281</v>
      </c>
      <c r="B105" s="2" t="s">
        <v>282</v>
      </c>
      <c r="C105" s="2" t="s">
        <v>283</v>
      </c>
      <c r="D105" s="2" t="s">
        <v>153</v>
      </c>
      <c r="E105" s="2" t="s">
        <v>30</v>
      </c>
      <c r="F105" s="2" t="s">
        <v>11</v>
      </c>
      <c r="G105" s="2" t="s">
        <v>22</v>
      </c>
    </row>
    <row r="106" customFormat="false" ht="35.05" hidden="false" customHeight="false" outlineLevel="0" collapsed="false">
      <c r="A106" s="2" t="s">
        <v>284</v>
      </c>
      <c r="B106" s="2" t="s">
        <v>285</v>
      </c>
      <c r="C106" s="2" t="s">
        <v>286</v>
      </c>
      <c r="D106" s="2" t="s">
        <v>153</v>
      </c>
      <c r="E106" s="2" t="s">
        <v>30</v>
      </c>
      <c r="F106" s="2" t="s">
        <v>11</v>
      </c>
      <c r="G106" s="2" t="s">
        <v>22</v>
      </c>
    </row>
    <row r="107" customFormat="false" ht="23.85" hidden="false" customHeight="false" outlineLevel="0" collapsed="false">
      <c r="A107" s="2" t="s">
        <v>287</v>
      </c>
      <c r="B107" s="2" t="s">
        <v>288</v>
      </c>
      <c r="C107" s="2" t="s">
        <v>288</v>
      </c>
      <c r="D107" s="2" t="s">
        <v>153</v>
      </c>
      <c r="E107" s="2" t="s">
        <v>30</v>
      </c>
      <c r="F107" s="2" t="s">
        <v>11</v>
      </c>
      <c r="G107" s="2" t="s">
        <v>22</v>
      </c>
    </row>
    <row r="108" customFormat="false" ht="23.85" hidden="false" customHeight="false" outlineLevel="0" collapsed="false">
      <c r="A108" s="2" t="s">
        <v>289</v>
      </c>
      <c r="B108" s="2" t="s">
        <v>290</v>
      </c>
      <c r="C108" s="2" t="s">
        <v>290</v>
      </c>
      <c r="D108" s="2" t="s">
        <v>153</v>
      </c>
      <c r="E108" s="2" t="s">
        <v>30</v>
      </c>
      <c r="F108" s="2" t="s">
        <v>34</v>
      </c>
      <c r="G108" s="2" t="s">
        <v>22</v>
      </c>
    </row>
    <row r="109" customFormat="false" ht="23.85" hidden="false" customHeight="false" outlineLevel="0" collapsed="false">
      <c r="A109" s="2" t="s">
        <v>291</v>
      </c>
      <c r="B109" s="2" t="s">
        <v>292</v>
      </c>
      <c r="C109" s="2" t="s">
        <v>292</v>
      </c>
      <c r="D109" s="2" t="s">
        <v>153</v>
      </c>
      <c r="E109" s="2" t="s">
        <v>30</v>
      </c>
      <c r="F109" s="2" t="s">
        <v>11</v>
      </c>
      <c r="G109" s="2" t="s">
        <v>22</v>
      </c>
    </row>
    <row r="110" customFormat="false" ht="23.85" hidden="false" customHeight="false" outlineLevel="0" collapsed="false">
      <c r="A110" s="2" t="s">
        <v>293</v>
      </c>
      <c r="B110" s="2" t="s">
        <v>294</v>
      </c>
      <c r="C110" s="2" t="s">
        <v>295</v>
      </c>
      <c r="D110" s="2" t="s">
        <v>153</v>
      </c>
      <c r="E110" s="2" t="s">
        <v>10</v>
      </c>
      <c r="F110" s="2" t="s">
        <v>34</v>
      </c>
      <c r="G110" s="2" t="s">
        <v>117</v>
      </c>
    </row>
    <row r="111" customFormat="false" ht="46.25" hidden="false" customHeight="false" outlineLevel="0" collapsed="false">
      <c r="A111" s="2" t="s">
        <v>296</v>
      </c>
      <c r="B111" s="2" t="s">
        <v>297</v>
      </c>
      <c r="C111" s="2" t="s">
        <v>298</v>
      </c>
      <c r="D111" s="2" t="s">
        <v>153</v>
      </c>
      <c r="E111" s="2" t="s">
        <v>30</v>
      </c>
      <c r="F111" s="2" t="s">
        <v>11</v>
      </c>
      <c r="G111" s="2" t="s">
        <v>117</v>
      </c>
    </row>
    <row r="112" customFormat="false" ht="23.85" hidden="false" customHeight="false" outlineLevel="0" collapsed="false">
      <c r="A112" s="2" t="s">
        <v>299</v>
      </c>
      <c r="B112" s="2" t="s">
        <v>300</v>
      </c>
      <c r="C112" s="2" t="s">
        <v>300</v>
      </c>
      <c r="D112" s="2" t="s">
        <v>153</v>
      </c>
      <c r="E112" s="2" t="s">
        <v>10</v>
      </c>
      <c r="F112" s="2" t="s">
        <v>11</v>
      </c>
      <c r="G112" s="2" t="s">
        <v>117</v>
      </c>
    </row>
    <row r="113" customFormat="false" ht="23.85" hidden="false" customHeight="false" outlineLevel="0" collapsed="false">
      <c r="A113" s="2" t="s">
        <v>301</v>
      </c>
      <c r="B113" s="2" t="s">
        <v>302</v>
      </c>
      <c r="C113" s="2" t="s">
        <v>302</v>
      </c>
      <c r="D113" s="2" t="s">
        <v>153</v>
      </c>
      <c r="E113" s="2" t="s">
        <v>30</v>
      </c>
      <c r="F113" s="2" t="s">
        <v>11</v>
      </c>
      <c r="G113" s="2" t="s">
        <v>117</v>
      </c>
    </row>
    <row r="114" customFormat="false" ht="23.85" hidden="false" customHeight="false" outlineLevel="0" collapsed="false">
      <c r="A114" s="2" t="s">
        <v>303</v>
      </c>
      <c r="B114" s="2" t="s">
        <v>304</v>
      </c>
      <c r="C114" s="2" t="s">
        <v>305</v>
      </c>
      <c r="D114" s="2" t="s">
        <v>153</v>
      </c>
      <c r="E114" s="2" t="s">
        <v>30</v>
      </c>
      <c r="F114" s="2" t="s">
        <v>11</v>
      </c>
      <c r="G114" s="2" t="s">
        <v>22</v>
      </c>
    </row>
    <row r="115" customFormat="false" ht="23.85" hidden="false" customHeight="false" outlineLevel="0" collapsed="false">
      <c r="A115" s="2" t="s">
        <v>306</v>
      </c>
      <c r="B115" s="2" t="s">
        <v>307</v>
      </c>
      <c r="C115" s="2" t="s">
        <v>308</v>
      </c>
      <c r="D115" s="2" t="s">
        <v>153</v>
      </c>
      <c r="E115" s="2" t="s">
        <v>30</v>
      </c>
      <c r="F115" s="2" t="s">
        <v>34</v>
      </c>
      <c r="G115" s="2" t="s">
        <v>59</v>
      </c>
    </row>
    <row r="116" customFormat="false" ht="23.85" hidden="false" customHeight="false" outlineLevel="0" collapsed="false">
      <c r="A116" s="2" t="s">
        <v>309</v>
      </c>
      <c r="B116" s="2" t="s">
        <v>310</v>
      </c>
      <c r="C116" s="2" t="s">
        <v>310</v>
      </c>
      <c r="D116" s="2" t="s">
        <v>153</v>
      </c>
      <c r="E116" s="2" t="s">
        <v>30</v>
      </c>
      <c r="F116" s="2" t="s">
        <v>11</v>
      </c>
      <c r="G116" s="2" t="s">
        <v>117</v>
      </c>
    </row>
    <row r="117" customFormat="false" ht="23.85" hidden="false" customHeight="false" outlineLevel="0" collapsed="false">
      <c r="A117" s="2" t="s">
        <v>311</v>
      </c>
      <c r="B117" s="2" t="s">
        <v>312</v>
      </c>
      <c r="C117" s="2" t="s">
        <v>312</v>
      </c>
      <c r="D117" s="2" t="s">
        <v>153</v>
      </c>
      <c r="E117" s="2" t="s">
        <v>30</v>
      </c>
      <c r="F117" s="2" t="s">
        <v>34</v>
      </c>
      <c r="G117" s="2" t="s">
        <v>22</v>
      </c>
    </row>
    <row r="118" customFormat="false" ht="23.85" hidden="false" customHeight="false" outlineLevel="0" collapsed="false">
      <c r="A118" s="2" t="s">
        <v>313</v>
      </c>
      <c r="B118" s="2" t="s">
        <v>314</v>
      </c>
      <c r="C118" s="2" t="s">
        <v>314</v>
      </c>
      <c r="D118" s="2" t="s">
        <v>315</v>
      </c>
      <c r="E118" s="2" t="s">
        <v>21</v>
      </c>
      <c r="F118" s="2" t="s">
        <v>11</v>
      </c>
      <c r="G118" s="2" t="s">
        <v>117</v>
      </c>
    </row>
    <row r="119" customFormat="false" ht="23.85" hidden="false" customHeight="false" outlineLevel="0" collapsed="false">
      <c r="A119" s="2" t="s">
        <v>316</v>
      </c>
      <c r="B119" s="2" t="s">
        <v>317</v>
      </c>
      <c r="C119" s="2" t="s">
        <v>317</v>
      </c>
      <c r="D119" s="2" t="s">
        <v>315</v>
      </c>
      <c r="E119" s="2" t="s">
        <v>21</v>
      </c>
      <c r="F119" s="2" t="s">
        <v>11</v>
      </c>
      <c r="G119" s="2" t="s">
        <v>117</v>
      </c>
    </row>
    <row r="120" customFormat="false" ht="23.85" hidden="false" customHeight="false" outlineLevel="0" collapsed="false">
      <c r="A120" s="2" t="s">
        <v>318</v>
      </c>
      <c r="B120" s="2" t="s">
        <v>319</v>
      </c>
      <c r="C120" s="2" t="s">
        <v>320</v>
      </c>
      <c r="D120" s="2" t="s">
        <v>315</v>
      </c>
      <c r="E120" s="2" t="s">
        <v>21</v>
      </c>
      <c r="F120" s="2" t="s">
        <v>34</v>
      </c>
      <c r="G120" s="2" t="s">
        <v>117</v>
      </c>
    </row>
    <row r="121" customFormat="false" ht="23.85" hidden="false" customHeight="false" outlineLevel="0" collapsed="false">
      <c r="A121" s="2" t="s">
        <v>321</v>
      </c>
      <c r="B121" s="2" t="s">
        <v>322</v>
      </c>
      <c r="C121" s="2" t="s">
        <v>323</v>
      </c>
      <c r="D121" s="2" t="s">
        <v>315</v>
      </c>
      <c r="E121" s="2" t="s">
        <v>21</v>
      </c>
      <c r="F121" s="2" t="s">
        <v>11</v>
      </c>
      <c r="G121" s="2" t="s">
        <v>117</v>
      </c>
    </row>
    <row r="122" customFormat="false" ht="23.85" hidden="false" customHeight="false" outlineLevel="0" collapsed="false">
      <c r="A122" s="2" t="s">
        <v>324</v>
      </c>
      <c r="B122" s="2" t="s">
        <v>325</v>
      </c>
      <c r="C122" s="2" t="s">
        <v>325</v>
      </c>
      <c r="D122" s="2" t="s">
        <v>315</v>
      </c>
      <c r="E122" s="2" t="s">
        <v>21</v>
      </c>
      <c r="F122" s="2" t="s">
        <v>34</v>
      </c>
      <c r="G122" s="2" t="s">
        <v>117</v>
      </c>
    </row>
    <row r="123" customFormat="false" ht="23.85" hidden="false" customHeight="false" outlineLevel="0" collapsed="false">
      <c r="A123" s="2" t="s">
        <v>326</v>
      </c>
      <c r="B123" s="2" t="s">
        <v>327</v>
      </c>
      <c r="C123" s="2" t="s">
        <v>327</v>
      </c>
      <c r="D123" s="2" t="s">
        <v>315</v>
      </c>
      <c r="E123" s="2" t="s">
        <v>58</v>
      </c>
      <c r="F123" s="2" t="s">
        <v>111</v>
      </c>
      <c r="G123" s="2" t="s">
        <v>59</v>
      </c>
    </row>
    <row r="124" customFormat="false" ht="23.85" hidden="false" customHeight="false" outlineLevel="0" collapsed="false">
      <c r="A124" s="2" t="s">
        <v>328</v>
      </c>
      <c r="B124" s="2" t="s">
        <v>329</v>
      </c>
      <c r="C124" s="2" t="s">
        <v>329</v>
      </c>
      <c r="D124" s="2" t="s">
        <v>315</v>
      </c>
      <c r="E124" s="2" t="s">
        <v>58</v>
      </c>
      <c r="F124" s="2" t="s">
        <v>111</v>
      </c>
      <c r="G124" s="2" t="s">
        <v>59</v>
      </c>
    </row>
    <row r="125" customFormat="false" ht="23.85" hidden="false" customHeight="false" outlineLevel="0" collapsed="false">
      <c r="A125" s="2" t="s">
        <v>330</v>
      </c>
      <c r="B125" s="2" t="s">
        <v>331</v>
      </c>
      <c r="C125" s="2" t="s">
        <v>332</v>
      </c>
      <c r="D125" s="2" t="s">
        <v>315</v>
      </c>
      <c r="E125" s="2" t="s">
        <v>21</v>
      </c>
      <c r="F125" s="2" t="s">
        <v>11</v>
      </c>
      <c r="G125" s="2" t="s">
        <v>117</v>
      </c>
    </row>
    <row r="126" customFormat="false" ht="23.85" hidden="false" customHeight="false" outlineLevel="0" collapsed="false">
      <c r="A126" s="2" t="s">
        <v>333</v>
      </c>
      <c r="B126" s="2" t="s">
        <v>334</v>
      </c>
      <c r="C126" s="2" t="s">
        <v>335</v>
      </c>
      <c r="D126" s="2" t="s">
        <v>315</v>
      </c>
      <c r="E126" s="2" t="s">
        <v>73</v>
      </c>
      <c r="F126" s="2" t="s">
        <v>34</v>
      </c>
      <c r="G126" s="2" t="s">
        <v>117</v>
      </c>
    </row>
    <row r="127" customFormat="false" ht="35.05" hidden="false" customHeight="false" outlineLevel="0" collapsed="false">
      <c r="A127" s="2" t="s">
        <v>336</v>
      </c>
      <c r="B127" s="2" t="s">
        <v>337</v>
      </c>
      <c r="C127" s="2" t="s">
        <v>338</v>
      </c>
      <c r="D127" s="2" t="s">
        <v>315</v>
      </c>
      <c r="E127" s="2" t="s">
        <v>58</v>
      </c>
      <c r="F127" s="2" t="s">
        <v>111</v>
      </c>
      <c r="G127" s="2" t="s">
        <v>59</v>
      </c>
    </row>
    <row r="128" customFormat="false" ht="23.85" hidden="false" customHeight="false" outlineLevel="0" collapsed="false">
      <c r="A128" s="2" t="s">
        <v>339</v>
      </c>
      <c r="B128" s="2" t="s">
        <v>340</v>
      </c>
      <c r="C128" s="2" t="s">
        <v>340</v>
      </c>
      <c r="D128" s="2" t="s">
        <v>315</v>
      </c>
      <c r="E128" s="2" t="s">
        <v>21</v>
      </c>
      <c r="F128" s="2" t="s">
        <v>34</v>
      </c>
      <c r="G128" s="2" t="s">
        <v>117</v>
      </c>
    </row>
    <row r="129" customFormat="false" ht="23.85" hidden="false" customHeight="false" outlineLevel="0" collapsed="false">
      <c r="A129" s="2" t="s">
        <v>341</v>
      </c>
      <c r="B129" s="2" t="s">
        <v>342</v>
      </c>
      <c r="C129" s="2" t="s">
        <v>342</v>
      </c>
      <c r="D129" s="2" t="s">
        <v>315</v>
      </c>
      <c r="E129" s="2" t="s">
        <v>30</v>
      </c>
      <c r="F129" s="2" t="s">
        <v>11</v>
      </c>
      <c r="G129" s="2" t="s">
        <v>117</v>
      </c>
    </row>
    <row r="130" customFormat="false" ht="23.85" hidden="false" customHeight="false" outlineLevel="0" collapsed="false">
      <c r="A130" s="2" t="s">
        <v>343</v>
      </c>
      <c r="B130" s="2" t="s">
        <v>344</v>
      </c>
      <c r="C130" s="2" t="s">
        <v>344</v>
      </c>
      <c r="D130" s="2" t="s">
        <v>315</v>
      </c>
      <c r="E130" s="2" t="s">
        <v>21</v>
      </c>
      <c r="F130" s="2" t="s">
        <v>111</v>
      </c>
      <c r="G130" s="2" t="s">
        <v>59</v>
      </c>
    </row>
    <row r="131" customFormat="false" ht="23.85" hidden="false" customHeight="false" outlineLevel="0" collapsed="false">
      <c r="A131" s="2" t="s">
        <v>345</v>
      </c>
      <c r="B131" s="2" t="s">
        <v>346</v>
      </c>
      <c r="C131" s="2" t="s">
        <v>346</v>
      </c>
      <c r="D131" s="2" t="s">
        <v>315</v>
      </c>
      <c r="E131" s="2" t="s">
        <v>58</v>
      </c>
      <c r="F131" s="2" t="s">
        <v>34</v>
      </c>
      <c r="G131" s="2" t="s">
        <v>117</v>
      </c>
    </row>
    <row r="132" customFormat="false" ht="23.85" hidden="false" customHeight="false" outlineLevel="0" collapsed="false">
      <c r="A132" s="2" t="s">
        <v>347</v>
      </c>
      <c r="B132" s="2" t="s">
        <v>348</v>
      </c>
      <c r="C132" s="2" t="s">
        <v>348</v>
      </c>
      <c r="D132" s="2" t="s">
        <v>315</v>
      </c>
      <c r="E132" s="2" t="s">
        <v>73</v>
      </c>
      <c r="F132" s="2" t="s">
        <v>34</v>
      </c>
      <c r="G132" s="2" t="s">
        <v>117</v>
      </c>
    </row>
    <row r="133" customFormat="false" ht="23.85" hidden="false" customHeight="false" outlineLevel="0" collapsed="false">
      <c r="A133" s="2" t="s">
        <v>349</v>
      </c>
      <c r="B133" s="2" t="s">
        <v>350</v>
      </c>
      <c r="C133" s="2" t="s">
        <v>350</v>
      </c>
      <c r="D133" s="2" t="s">
        <v>315</v>
      </c>
      <c r="E133" s="2" t="s">
        <v>58</v>
      </c>
      <c r="F133" s="2" t="s">
        <v>111</v>
      </c>
      <c r="G133" s="2" t="s">
        <v>59</v>
      </c>
    </row>
    <row r="134" customFormat="false" ht="23.85" hidden="false" customHeight="false" outlineLevel="0" collapsed="false">
      <c r="A134" s="2" t="s">
        <v>351</v>
      </c>
      <c r="B134" s="2" t="s">
        <v>352</v>
      </c>
      <c r="C134" s="2" t="s">
        <v>353</v>
      </c>
      <c r="D134" s="2" t="s">
        <v>315</v>
      </c>
      <c r="E134" s="2" t="s">
        <v>21</v>
      </c>
      <c r="F134" s="2" t="s">
        <v>34</v>
      </c>
      <c r="G134" s="2" t="s">
        <v>117</v>
      </c>
    </row>
    <row r="135" customFormat="false" ht="35.05" hidden="false" customHeight="false" outlineLevel="0" collapsed="false">
      <c r="A135" s="2" t="s">
        <v>354</v>
      </c>
      <c r="B135" s="2" t="s">
        <v>355</v>
      </c>
      <c r="C135" s="2" t="s">
        <v>356</v>
      </c>
      <c r="D135" s="2" t="s">
        <v>315</v>
      </c>
      <c r="E135" s="2" t="s">
        <v>21</v>
      </c>
      <c r="F135" s="2" t="s">
        <v>34</v>
      </c>
      <c r="G135" s="2" t="s">
        <v>117</v>
      </c>
    </row>
    <row r="136" customFormat="false" ht="23.85" hidden="false" customHeight="false" outlineLevel="0" collapsed="false">
      <c r="A136" s="2" t="s">
        <v>357</v>
      </c>
      <c r="B136" s="2" t="s">
        <v>358</v>
      </c>
      <c r="C136" s="2" t="s">
        <v>359</v>
      </c>
      <c r="D136" s="2" t="s">
        <v>315</v>
      </c>
      <c r="E136" s="2" t="s">
        <v>21</v>
      </c>
      <c r="F136" s="2" t="s">
        <v>11</v>
      </c>
      <c r="G136" s="2" t="s">
        <v>117</v>
      </c>
    </row>
    <row r="137" customFormat="false" ht="35.05" hidden="false" customHeight="false" outlineLevel="0" collapsed="false">
      <c r="A137" s="2" t="s">
        <v>360</v>
      </c>
      <c r="B137" s="2" t="s">
        <v>361</v>
      </c>
      <c r="C137" s="2" t="s">
        <v>362</v>
      </c>
      <c r="D137" s="2" t="s">
        <v>315</v>
      </c>
      <c r="E137" s="2" t="s">
        <v>21</v>
      </c>
      <c r="F137" s="2" t="s">
        <v>34</v>
      </c>
      <c r="G137" s="2" t="s">
        <v>117</v>
      </c>
    </row>
    <row r="138" customFormat="false" ht="23.85" hidden="false" customHeight="false" outlineLevel="0" collapsed="false">
      <c r="A138" s="2" t="s">
        <v>363</v>
      </c>
      <c r="B138" s="2" t="s">
        <v>364</v>
      </c>
      <c r="C138" s="2" t="s">
        <v>365</v>
      </c>
      <c r="D138" s="2" t="s">
        <v>315</v>
      </c>
      <c r="E138" s="2" t="s">
        <v>58</v>
      </c>
      <c r="F138" s="2" t="s">
        <v>111</v>
      </c>
      <c r="G138" s="2" t="s">
        <v>59</v>
      </c>
    </row>
    <row r="139" customFormat="false" ht="23.85" hidden="false" customHeight="false" outlineLevel="0" collapsed="false">
      <c r="A139" s="2" t="s">
        <v>366</v>
      </c>
      <c r="B139" s="2" t="s">
        <v>367</v>
      </c>
      <c r="C139" s="2" t="s">
        <v>367</v>
      </c>
      <c r="D139" s="2" t="s">
        <v>315</v>
      </c>
      <c r="E139" s="2" t="s">
        <v>21</v>
      </c>
      <c r="F139" s="2" t="s">
        <v>34</v>
      </c>
      <c r="G139" s="2" t="s">
        <v>117</v>
      </c>
    </row>
    <row r="140" customFormat="false" ht="23.85" hidden="false" customHeight="false" outlineLevel="0" collapsed="false">
      <c r="A140" s="2" t="s">
        <v>368</v>
      </c>
      <c r="B140" s="2" t="s">
        <v>369</v>
      </c>
      <c r="C140" s="2" t="s">
        <v>370</v>
      </c>
      <c r="D140" s="2" t="s">
        <v>371</v>
      </c>
      <c r="E140" s="2" t="s">
        <v>63</v>
      </c>
      <c r="F140" s="2" t="s">
        <v>11</v>
      </c>
      <c r="G140" s="2" t="s">
        <v>22</v>
      </c>
    </row>
    <row r="141" customFormat="false" ht="23.85" hidden="false" customHeight="false" outlineLevel="0" collapsed="false">
      <c r="A141" s="2" t="s">
        <v>372</v>
      </c>
      <c r="B141" s="2" t="s">
        <v>373</v>
      </c>
      <c r="C141" s="2" t="s">
        <v>374</v>
      </c>
      <c r="D141" s="2" t="s">
        <v>371</v>
      </c>
      <c r="E141" s="2" t="s">
        <v>10</v>
      </c>
      <c r="F141" s="2" t="s">
        <v>34</v>
      </c>
      <c r="G141" s="2" t="s">
        <v>117</v>
      </c>
    </row>
    <row r="142" customFormat="false" ht="35.05" hidden="false" customHeight="false" outlineLevel="0" collapsed="false">
      <c r="A142" s="2" t="s">
        <v>375</v>
      </c>
      <c r="B142" s="2" t="s">
        <v>376</v>
      </c>
      <c r="C142" s="2" t="s">
        <v>376</v>
      </c>
      <c r="D142" s="2" t="s">
        <v>371</v>
      </c>
      <c r="E142" s="2" t="s">
        <v>10</v>
      </c>
      <c r="F142" s="2" t="s">
        <v>34</v>
      </c>
      <c r="G142" s="2" t="s">
        <v>117</v>
      </c>
    </row>
    <row r="143" customFormat="false" ht="23.85" hidden="false" customHeight="false" outlineLevel="0" collapsed="false">
      <c r="A143" s="2" t="s">
        <v>377</v>
      </c>
      <c r="B143" s="2" t="s">
        <v>378</v>
      </c>
      <c r="C143" s="2" t="s">
        <v>379</v>
      </c>
      <c r="D143" s="2" t="s">
        <v>371</v>
      </c>
      <c r="E143" s="2" t="s">
        <v>63</v>
      </c>
      <c r="F143" s="2" t="s">
        <v>34</v>
      </c>
      <c r="G143" s="2" t="s">
        <v>117</v>
      </c>
    </row>
    <row r="144" customFormat="false" ht="23.85" hidden="false" customHeight="false" outlineLevel="0" collapsed="false">
      <c r="A144" s="2" t="s">
        <v>380</v>
      </c>
      <c r="B144" s="2" t="s">
        <v>381</v>
      </c>
      <c r="C144" s="2" t="s">
        <v>382</v>
      </c>
      <c r="D144" s="2" t="s">
        <v>371</v>
      </c>
      <c r="E144" s="2" t="s">
        <v>10</v>
      </c>
      <c r="F144" s="2" t="s">
        <v>11</v>
      </c>
      <c r="G144" s="2" t="s">
        <v>117</v>
      </c>
    </row>
    <row r="145" customFormat="false" ht="23.85" hidden="false" customHeight="false" outlineLevel="0" collapsed="false">
      <c r="A145" s="2" t="s">
        <v>383</v>
      </c>
      <c r="B145" s="2" t="s">
        <v>384</v>
      </c>
      <c r="C145" s="2" t="s">
        <v>384</v>
      </c>
      <c r="D145" s="2" t="s">
        <v>371</v>
      </c>
      <c r="E145" s="2" t="s">
        <v>63</v>
      </c>
      <c r="F145" s="2" t="s">
        <v>11</v>
      </c>
      <c r="G145" s="2" t="s">
        <v>117</v>
      </c>
    </row>
    <row r="146" customFormat="false" ht="23.85" hidden="false" customHeight="false" outlineLevel="0" collapsed="false">
      <c r="A146" s="2" t="s">
        <v>385</v>
      </c>
      <c r="B146" s="2" t="s">
        <v>386</v>
      </c>
      <c r="C146" s="2" t="s">
        <v>387</v>
      </c>
      <c r="D146" s="2" t="s">
        <v>371</v>
      </c>
      <c r="E146" s="2" t="s">
        <v>21</v>
      </c>
      <c r="F146" s="2" t="s">
        <v>111</v>
      </c>
      <c r="G146" s="2" t="s">
        <v>59</v>
      </c>
    </row>
    <row r="147" customFormat="false" ht="23.85" hidden="false" customHeight="false" outlineLevel="0" collapsed="false">
      <c r="A147" s="2" t="s">
        <v>388</v>
      </c>
      <c r="B147" s="2" t="s">
        <v>389</v>
      </c>
      <c r="C147" s="2" t="s">
        <v>390</v>
      </c>
      <c r="D147" s="2" t="s">
        <v>371</v>
      </c>
      <c r="E147" s="2" t="s">
        <v>21</v>
      </c>
      <c r="F147" s="2" t="s">
        <v>111</v>
      </c>
      <c r="G147" s="2" t="s">
        <v>59</v>
      </c>
    </row>
    <row r="148" customFormat="false" ht="23.85" hidden="false" customHeight="false" outlineLevel="0" collapsed="false">
      <c r="A148" s="2" t="s">
        <v>391</v>
      </c>
      <c r="B148" s="2" t="s">
        <v>392</v>
      </c>
      <c r="C148" s="2" t="s">
        <v>393</v>
      </c>
      <c r="D148" s="2" t="s">
        <v>371</v>
      </c>
      <c r="E148" s="2" t="s">
        <v>21</v>
      </c>
      <c r="F148" s="2" t="s">
        <v>34</v>
      </c>
      <c r="G148" s="2" t="s">
        <v>117</v>
      </c>
    </row>
    <row r="149" customFormat="false" ht="23.85" hidden="false" customHeight="false" outlineLevel="0" collapsed="false">
      <c r="A149" s="2" t="s">
        <v>394</v>
      </c>
      <c r="B149" s="2" t="s">
        <v>395</v>
      </c>
      <c r="C149" s="2" t="s">
        <v>396</v>
      </c>
      <c r="D149" s="2" t="s">
        <v>371</v>
      </c>
      <c r="E149" s="2" t="s">
        <v>63</v>
      </c>
      <c r="F149" s="2" t="s">
        <v>11</v>
      </c>
      <c r="G149" s="2" t="s">
        <v>117</v>
      </c>
    </row>
    <row r="150" customFormat="false" ht="23.85" hidden="false" customHeight="false" outlineLevel="0" collapsed="false">
      <c r="A150" s="2" t="s">
        <v>397</v>
      </c>
      <c r="B150" s="2" t="s">
        <v>398</v>
      </c>
      <c r="C150" s="2" t="s">
        <v>398</v>
      </c>
      <c r="D150" s="2" t="s">
        <v>371</v>
      </c>
      <c r="E150" s="2" t="s">
        <v>63</v>
      </c>
      <c r="F150" s="2" t="s">
        <v>34</v>
      </c>
      <c r="G150" s="2" t="s">
        <v>117</v>
      </c>
    </row>
    <row r="151" customFormat="false" ht="46.25" hidden="false" customHeight="false" outlineLevel="0" collapsed="false">
      <c r="A151" s="2" t="s">
        <v>399</v>
      </c>
      <c r="B151" s="2" t="s">
        <v>400</v>
      </c>
      <c r="C151" s="2" t="s">
        <v>401</v>
      </c>
      <c r="D151" s="2" t="s">
        <v>371</v>
      </c>
      <c r="E151" s="2" t="s">
        <v>30</v>
      </c>
      <c r="F151" s="2" t="s">
        <v>11</v>
      </c>
      <c r="G151" s="2" t="s">
        <v>117</v>
      </c>
    </row>
    <row r="152" customFormat="false" ht="23.85" hidden="false" customHeight="false" outlineLevel="0" collapsed="false">
      <c r="A152" s="2" t="s">
        <v>402</v>
      </c>
      <c r="B152" s="2" t="s">
        <v>403</v>
      </c>
      <c r="C152" s="2" t="s">
        <v>403</v>
      </c>
      <c r="D152" s="2" t="s">
        <v>371</v>
      </c>
      <c r="E152" s="2" t="s">
        <v>10</v>
      </c>
      <c r="F152" s="2" t="s">
        <v>34</v>
      </c>
      <c r="G152" s="2" t="s">
        <v>117</v>
      </c>
    </row>
    <row r="153" customFormat="false" ht="23.85" hidden="false" customHeight="false" outlineLevel="0" collapsed="false">
      <c r="A153" s="2" t="s">
        <v>404</v>
      </c>
      <c r="B153" s="2" t="s">
        <v>405</v>
      </c>
      <c r="C153" s="2" t="s">
        <v>405</v>
      </c>
      <c r="D153" s="2" t="s">
        <v>371</v>
      </c>
      <c r="E153" s="2" t="s">
        <v>30</v>
      </c>
      <c r="F153" s="2" t="s">
        <v>11</v>
      </c>
      <c r="G153" s="2" t="s">
        <v>117</v>
      </c>
    </row>
    <row r="154" customFormat="false" ht="15" hidden="false" customHeight="false" outlineLevel="0" collapsed="false">
      <c r="A154" s="2" t="s">
        <v>406</v>
      </c>
      <c r="B154" s="2" t="s">
        <v>407</v>
      </c>
      <c r="C154" s="2" t="s">
        <v>407</v>
      </c>
      <c r="D154" s="2" t="s">
        <v>371</v>
      </c>
      <c r="E154" s="2" t="s">
        <v>10</v>
      </c>
      <c r="F154" s="2" t="s">
        <v>11</v>
      </c>
      <c r="G154" s="2" t="s">
        <v>117</v>
      </c>
    </row>
    <row r="155" customFormat="false" ht="23.85" hidden="false" customHeight="false" outlineLevel="0" collapsed="false">
      <c r="A155" s="2" t="s">
        <v>408</v>
      </c>
      <c r="B155" s="2" t="s">
        <v>409</v>
      </c>
      <c r="C155" s="2" t="s">
        <v>410</v>
      </c>
      <c r="D155" s="2" t="s">
        <v>371</v>
      </c>
      <c r="E155" s="2" t="s">
        <v>58</v>
      </c>
      <c r="F155" s="2" t="s">
        <v>111</v>
      </c>
      <c r="G155" s="2" t="s">
        <v>59</v>
      </c>
    </row>
    <row r="156" customFormat="false" ht="23.85" hidden="false" customHeight="false" outlineLevel="0" collapsed="false">
      <c r="A156" s="2" t="s">
        <v>411</v>
      </c>
      <c r="B156" s="2" t="s">
        <v>412</v>
      </c>
      <c r="C156" s="2" t="s">
        <v>412</v>
      </c>
      <c r="D156" s="2" t="s">
        <v>371</v>
      </c>
      <c r="E156" s="2" t="s">
        <v>58</v>
      </c>
      <c r="F156" s="2" t="s">
        <v>111</v>
      </c>
      <c r="G156" s="2" t="s">
        <v>59</v>
      </c>
    </row>
    <row r="157" customFormat="false" ht="23.85" hidden="false" customHeight="false" outlineLevel="0" collapsed="false">
      <c r="A157" s="2" t="s">
        <v>413</v>
      </c>
      <c r="B157" s="2" t="s">
        <v>414</v>
      </c>
      <c r="C157" s="2" t="s">
        <v>415</v>
      </c>
      <c r="D157" s="2" t="s">
        <v>371</v>
      </c>
      <c r="E157" s="2" t="s">
        <v>58</v>
      </c>
      <c r="F157" s="2" t="s">
        <v>111</v>
      </c>
      <c r="G157" s="2" t="s">
        <v>59</v>
      </c>
    </row>
    <row r="158" customFormat="false" ht="23.85" hidden="false" customHeight="false" outlineLevel="0" collapsed="false">
      <c r="A158" s="2" t="s">
        <v>416</v>
      </c>
      <c r="B158" s="2" t="s">
        <v>417</v>
      </c>
      <c r="C158" s="2" t="s">
        <v>417</v>
      </c>
      <c r="D158" s="2" t="s">
        <v>371</v>
      </c>
      <c r="E158" s="2" t="s">
        <v>58</v>
      </c>
      <c r="F158" s="2" t="s">
        <v>111</v>
      </c>
      <c r="G158" s="2" t="s">
        <v>59</v>
      </c>
    </row>
    <row r="159" customFormat="false" ht="23.85" hidden="false" customHeight="false" outlineLevel="0" collapsed="false">
      <c r="A159" s="2" t="s">
        <v>418</v>
      </c>
      <c r="B159" s="2" t="s">
        <v>419</v>
      </c>
      <c r="C159" s="2" t="s">
        <v>420</v>
      </c>
      <c r="D159" s="2" t="s">
        <v>159</v>
      </c>
      <c r="E159" s="2" t="s">
        <v>10</v>
      </c>
      <c r="F159" s="2" t="s">
        <v>34</v>
      </c>
      <c r="G159" s="2" t="s">
        <v>22</v>
      </c>
    </row>
    <row r="160" customFormat="false" ht="23.85" hidden="false" customHeight="false" outlineLevel="0" collapsed="false">
      <c r="A160" s="2" t="s">
        <v>421</v>
      </c>
      <c r="B160" s="2" t="s">
        <v>422</v>
      </c>
      <c r="C160" s="2" t="s">
        <v>422</v>
      </c>
      <c r="D160" s="2" t="s">
        <v>159</v>
      </c>
      <c r="E160" s="2" t="s">
        <v>10</v>
      </c>
      <c r="F160" s="2" t="s">
        <v>111</v>
      </c>
      <c r="G160" s="2" t="s">
        <v>59</v>
      </c>
    </row>
    <row r="161" customFormat="false" ht="23.85" hidden="false" customHeight="false" outlineLevel="0" collapsed="false">
      <c r="A161" s="2" t="s">
        <v>423</v>
      </c>
      <c r="B161" s="2" t="s">
        <v>424</v>
      </c>
      <c r="C161" s="2" t="s">
        <v>425</v>
      </c>
      <c r="D161" s="2" t="s">
        <v>159</v>
      </c>
      <c r="E161" s="2" t="s">
        <v>10</v>
      </c>
      <c r="F161" s="2" t="s">
        <v>34</v>
      </c>
      <c r="G161" s="2" t="s">
        <v>117</v>
      </c>
    </row>
    <row r="162" customFormat="false" ht="23.85" hidden="false" customHeight="false" outlineLevel="0" collapsed="false">
      <c r="A162" s="2" t="s">
        <v>426</v>
      </c>
      <c r="B162" s="2" t="s">
        <v>427</v>
      </c>
      <c r="C162" s="2" t="s">
        <v>428</v>
      </c>
      <c r="D162" s="2" t="s">
        <v>159</v>
      </c>
      <c r="E162" s="2" t="s">
        <v>10</v>
      </c>
      <c r="F162" s="2" t="s">
        <v>34</v>
      </c>
      <c r="G162" s="2" t="s">
        <v>22</v>
      </c>
    </row>
    <row r="163" customFormat="false" ht="23.85" hidden="false" customHeight="false" outlineLevel="0" collapsed="false">
      <c r="A163" s="2" t="s">
        <v>429</v>
      </c>
      <c r="B163" s="2" t="s">
        <v>430</v>
      </c>
      <c r="C163" s="2" t="s">
        <v>430</v>
      </c>
      <c r="D163" s="2" t="s">
        <v>159</v>
      </c>
      <c r="E163" s="2" t="s">
        <v>10</v>
      </c>
      <c r="F163" s="2" t="s">
        <v>111</v>
      </c>
      <c r="G163" s="2" t="s">
        <v>59</v>
      </c>
    </row>
    <row r="164" customFormat="false" ht="23.85" hidden="false" customHeight="false" outlineLevel="0" collapsed="false">
      <c r="A164" s="2" t="s">
        <v>431</v>
      </c>
      <c r="B164" s="2" t="s">
        <v>432</v>
      </c>
      <c r="C164" s="2" t="s">
        <v>432</v>
      </c>
      <c r="D164" s="2" t="s">
        <v>159</v>
      </c>
      <c r="E164" s="2" t="s">
        <v>10</v>
      </c>
      <c r="F164" s="2" t="s">
        <v>111</v>
      </c>
      <c r="G164" s="2" t="s">
        <v>59</v>
      </c>
    </row>
    <row r="165" customFormat="false" ht="23.85" hidden="false" customHeight="false" outlineLevel="0" collapsed="false">
      <c r="A165" s="2" t="s">
        <v>433</v>
      </c>
      <c r="B165" s="2" t="s">
        <v>434</v>
      </c>
      <c r="C165" s="2" t="s">
        <v>434</v>
      </c>
      <c r="D165" s="2" t="s">
        <v>159</v>
      </c>
      <c r="E165" s="2" t="s">
        <v>10</v>
      </c>
      <c r="F165" s="2" t="s">
        <v>111</v>
      </c>
      <c r="G165" s="2" t="s">
        <v>59</v>
      </c>
    </row>
    <row r="166" customFormat="false" ht="15" hidden="false" customHeight="false" outlineLevel="0" collapsed="false">
      <c r="A166" s="2" t="s">
        <v>435</v>
      </c>
      <c r="B166" s="2" t="s">
        <v>436</v>
      </c>
      <c r="C166" s="2" t="s">
        <v>436</v>
      </c>
      <c r="D166" s="2" t="s">
        <v>159</v>
      </c>
      <c r="E166" s="2" t="s">
        <v>10</v>
      </c>
      <c r="F166" s="2" t="s">
        <v>111</v>
      </c>
      <c r="G166" s="2" t="s">
        <v>59</v>
      </c>
    </row>
    <row r="167" customFormat="false" ht="23.85" hidden="false" customHeight="false" outlineLevel="0" collapsed="false">
      <c r="A167" s="2" t="s">
        <v>437</v>
      </c>
      <c r="B167" s="2" t="s">
        <v>438</v>
      </c>
      <c r="C167" s="2" t="s">
        <v>438</v>
      </c>
      <c r="D167" s="2" t="s">
        <v>159</v>
      </c>
      <c r="E167" s="2" t="s">
        <v>439</v>
      </c>
      <c r="F167" s="2" t="s">
        <v>11</v>
      </c>
      <c r="G167" s="2" t="s">
        <v>22</v>
      </c>
    </row>
    <row r="168" customFormat="false" ht="23.85" hidden="false" customHeight="false" outlineLevel="0" collapsed="false">
      <c r="A168" s="2" t="s">
        <v>440</v>
      </c>
      <c r="B168" s="2" t="s">
        <v>441</v>
      </c>
      <c r="C168" s="2" t="s">
        <v>441</v>
      </c>
      <c r="D168" s="2" t="s">
        <v>159</v>
      </c>
      <c r="E168" s="2" t="s">
        <v>10</v>
      </c>
      <c r="F168" s="2" t="s">
        <v>111</v>
      </c>
      <c r="G168" s="2" t="s">
        <v>59</v>
      </c>
    </row>
    <row r="169" customFormat="false" ht="23.85" hidden="false" customHeight="false" outlineLevel="0" collapsed="false">
      <c r="A169" s="2" t="s">
        <v>442</v>
      </c>
      <c r="B169" s="2" t="s">
        <v>443</v>
      </c>
      <c r="C169" s="2" t="s">
        <v>444</v>
      </c>
      <c r="D169" s="2" t="s">
        <v>170</v>
      </c>
      <c r="E169" s="2" t="s">
        <v>58</v>
      </c>
      <c r="F169" s="2" t="s">
        <v>34</v>
      </c>
      <c r="G169" s="2" t="s">
        <v>117</v>
      </c>
    </row>
    <row r="170" customFormat="false" ht="23.85" hidden="false" customHeight="false" outlineLevel="0" collapsed="false">
      <c r="A170" s="2" t="s">
        <v>445</v>
      </c>
      <c r="B170" s="2" t="s">
        <v>446</v>
      </c>
      <c r="C170" s="2" t="s">
        <v>447</v>
      </c>
      <c r="D170" s="2" t="s">
        <v>170</v>
      </c>
      <c r="E170" s="2" t="s">
        <v>58</v>
      </c>
      <c r="F170" s="2" t="s">
        <v>111</v>
      </c>
      <c r="G170" s="2" t="s">
        <v>59</v>
      </c>
    </row>
    <row r="171" customFormat="false" ht="23.85" hidden="false" customHeight="false" outlineLevel="0" collapsed="false">
      <c r="A171" s="2" t="s">
        <v>448</v>
      </c>
      <c r="B171" s="2" t="s">
        <v>449</v>
      </c>
      <c r="C171" s="2" t="s">
        <v>450</v>
      </c>
      <c r="D171" s="2" t="s">
        <v>170</v>
      </c>
      <c r="E171" s="2" t="s">
        <v>58</v>
      </c>
      <c r="F171" s="2" t="s">
        <v>34</v>
      </c>
      <c r="G171" s="2" t="s">
        <v>117</v>
      </c>
    </row>
    <row r="172" customFormat="false" ht="23.85" hidden="false" customHeight="false" outlineLevel="0" collapsed="false">
      <c r="A172" s="2" t="s">
        <v>451</v>
      </c>
      <c r="B172" s="2" t="s">
        <v>452</v>
      </c>
      <c r="C172" s="2" t="s">
        <v>452</v>
      </c>
      <c r="D172" s="2" t="s">
        <v>170</v>
      </c>
      <c r="E172" s="2" t="s">
        <v>58</v>
      </c>
      <c r="F172" s="2" t="s">
        <v>34</v>
      </c>
      <c r="G172" s="2" t="s">
        <v>117</v>
      </c>
    </row>
    <row r="173" customFormat="false" ht="23.85" hidden="false" customHeight="false" outlineLevel="0" collapsed="false">
      <c r="A173" s="2" t="s">
        <v>453</v>
      </c>
      <c r="B173" s="2" t="s">
        <v>454</v>
      </c>
      <c r="C173" s="2" t="s">
        <v>454</v>
      </c>
      <c r="D173" s="2" t="s">
        <v>170</v>
      </c>
      <c r="E173" s="2" t="s">
        <v>58</v>
      </c>
      <c r="F173" s="2" t="s">
        <v>111</v>
      </c>
      <c r="G173" s="2" t="s">
        <v>59</v>
      </c>
    </row>
    <row r="174" customFormat="false" ht="23.85" hidden="false" customHeight="false" outlineLevel="0" collapsed="false">
      <c r="A174" s="2" t="s">
        <v>455</v>
      </c>
      <c r="B174" s="2" t="s">
        <v>456</v>
      </c>
      <c r="C174" s="2" t="s">
        <v>456</v>
      </c>
      <c r="D174" s="2" t="s">
        <v>170</v>
      </c>
      <c r="E174" s="2" t="s">
        <v>58</v>
      </c>
      <c r="F174" s="2" t="s">
        <v>34</v>
      </c>
      <c r="G174" s="2" t="s">
        <v>117</v>
      </c>
    </row>
    <row r="175" customFormat="false" ht="23.85" hidden="false" customHeight="false" outlineLevel="0" collapsed="false">
      <c r="A175" s="2" t="s">
        <v>457</v>
      </c>
      <c r="B175" s="2" t="s">
        <v>458</v>
      </c>
      <c r="C175" s="2" t="s">
        <v>458</v>
      </c>
      <c r="D175" s="2" t="s">
        <v>170</v>
      </c>
      <c r="E175" s="2" t="s">
        <v>58</v>
      </c>
      <c r="F175" s="2" t="s">
        <v>111</v>
      </c>
      <c r="G175" s="2" t="s">
        <v>59</v>
      </c>
    </row>
    <row r="176" customFormat="false" ht="23.85" hidden="false" customHeight="false" outlineLevel="0" collapsed="false">
      <c r="A176" s="2" t="s">
        <v>459</v>
      </c>
      <c r="B176" s="2" t="s">
        <v>460</v>
      </c>
      <c r="C176" s="2" t="s">
        <v>460</v>
      </c>
      <c r="D176" s="2" t="s">
        <v>170</v>
      </c>
      <c r="E176" s="2" t="s">
        <v>73</v>
      </c>
      <c r="F176" s="2" t="s">
        <v>34</v>
      </c>
      <c r="G176" s="2" t="s">
        <v>117</v>
      </c>
    </row>
    <row r="177" customFormat="false" ht="23.85" hidden="false" customHeight="false" outlineLevel="0" collapsed="false">
      <c r="A177" s="2" t="s">
        <v>461</v>
      </c>
      <c r="B177" s="2" t="s">
        <v>462</v>
      </c>
      <c r="C177" s="2" t="s">
        <v>462</v>
      </c>
      <c r="D177" s="2" t="s">
        <v>170</v>
      </c>
      <c r="E177" s="2" t="s">
        <v>58</v>
      </c>
      <c r="F177" s="2" t="s">
        <v>111</v>
      </c>
      <c r="G177" s="2" t="s">
        <v>59</v>
      </c>
    </row>
    <row r="178" customFormat="false" ht="23.85" hidden="false" customHeight="false" outlineLevel="0" collapsed="false">
      <c r="A178" s="2" t="s">
        <v>463</v>
      </c>
      <c r="B178" s="2" t="s">
        <v>464</v>
      </c>
      <c r="C178" s="2" t="s">
        <v>465</v>
      </c>
      <c r="D178" s="2" t="s">
        <v>170</v>
      </c>
      <c r="E178" s="2" t="s">
        <v>30</v>
      </c>
      <c r="F178" s="2" t="s">
        <v>111</v>
      </c>
      <c r="G178" s="2" t="s">
        <v>59</v>
      </c>
    </row>
    <row r="179" customFormat="false" ht="15" hidden="false" customHeight="false" outlineLevel="0" collapsed="false">
      <c r="A179" s="2" t="s">
        <v>466</v>
      </c>
      <c r="B179" s="2" t="s">
        <v>467</v>
      </c>
      <c r="C179" s="2" t="s">
        <v>467</v>
      </c>
      <c r="D179" s="2" t="s">
        <v>170</v>
      </c>
      <c r="E179" s="2" t="s">
        <v>58</v>
      </c>
      <c r="F179" s="2" t="s">
        <v>111</v>
      </c>
      <c r="G179" s="2" t="s">
        <v>59</v>
      </c>
    </row>
    <row r="180" customFormat="false" ht="15" hidden="false" customHeight="false" outlineLevel="0" collapsed="false">
      <c r="A180" s="2" t="s">
        <v>468</v>
      </c>
      <c r="B180" s="2" t="s">
        <v>469</v>
      </c>
      <c r="C180" s="2" t="s">
        <v>469</v>
      </c>
      <c r="D180" s="2" t="s">
        <v>170</v>
      </c>
      <c r="E180" s="2" t="s">
        <v>10</v>
      </c>
      <c r="F180" s="2" t="s">
        <v>111</v>
      </c>
      <c r="G180" s="2" t="s">
        <v>59</v>
      </c>
    </row>
    <row r="181" customFormat="false" ht="23.85" hidden="false" customHeight="false" outlineLevel="0" collapsed="false">
      <c r="A181" s="2" t="s">
        <v>470</v>
      </c>
      <c r="B181" s="2" t="s">
        <v>471</v>
      </c>
      <c r="C181" s="2" t="s">
        <v>472</v>
      </c>
      <c r="D181" s="2" t="s">
        <v>177</v>
      </c>
      <c r="E181" s="2" t="s">
        <v>58</v>
      </c>
      <c r="F181" s="2" t="s">
        <v>34</v>
      </c>
      <c r="G181" s="2" t="s">
        <v>22</v>
      </c>
    </row>
    <row r="182" customFormat="false" ht="23.85" hidden="false" customHeight="false" outlineLevel="0" collapsed="false">
      <c r="A182" s="2" t="s">
        <v>473</v>
      </c>
      <c r="B182" s="2" t="s">
        <v>474</v>
      </c>
      <c r="C182" s="2" t="s">
        <v>475</v>
      </c>
      <c r="D182" s="2" t="s">
        <v>177</v>
      </c>
      <c r="E182" s="2" t="s">
        <v>58</v>
      </c>
      <c r="F182" s="2" t="s">
        <v>34</v>
      </c>
      <c r="G182" s="2" t="s">
        <v>22</v>
      </c>
    </row>
    <row r="183" customFormat="false" ht="23.85" hidden="false" customHeight="false" outlineLevel="0" collapsed="false">
      <c r="A183" s="2" t="s">
        <v>476</v>
      </c>
      <c r="B183" s="2" t="s">
        <v>477</v>
      </c>
      <c r="C183" s="2" t="s">
        <v>477</v>
      </c>
      <c r="D183" s="2" t="s">
        <v>177</v>
      </c>
      <c r="E183" s="2" t="s">
        <v>58</v>
      </c>
      <c r="F183" s="2" t="s">
        <v>111</v>
      </c>
      <c r="G183" s="2" t="s">
        <v>59</v>
      </c>
    </row>
    <row r="184" customFormat="false" ht="23.85" hidden="false" customHeight="false" outlineLevel="0" collapsed="false">
      <c r="A184" s="2" t="s">
        <v>478</v>
      </c>
      <c r="B184" s="2" t="s">
        <v>479</v>
      </c>
      <c r="C184" s="2" t="s">
        <v>479</v>
      </c>
      <c r="D184" s="2" t="s">
        <v>177</v>
      </c>
      <c r="E184" s="2" t="s">
        <v>58</v>
      </c>
      <c r="F184" s="2" t="s">
        <v>111</v>
      </c>
      <c r="G184" s="2" t="s">
        <v>59</v>
      </c>
    </row>
    <row r="185" customFormat="false" ht="23.85" hidden="false" customHeight="false" outlineLevel="0" collapsed="false">
      <c r="A185" s="2" t="s">
        <v>480</v>
      </c>
      <c r="B185" s="2" t="s">
        <v>481</v>
      </c>
      <c r="C185" s="2" t="s">
        <v>481</v>
      </c>
      <c r="D185" s="2" t="s">
        <v>177</v>
      </c>
      <c r="E185" s="2" t="s">
        <v>30</v>
      </c>
      <c r="F185" s="2" t="s">
        <v>34</v>
      </c>
      <c r="G185" s="2" t="s">
        <v>22</v>
      </c>
    </row>
    <row r="186" customFormat="false" ht="23.85" hidden="false" customHeight="false" outlineLevel="0" collapsed="false">
      <c r="A186" s="2" t="s">
        <v>482</v>
      </c>
      <c r="B186" s="2" t="s">
        <v>483</v>
      </c>
      <c r="C186" s="2" t="s">
        <v>483</v>
      </c>
      <c r="D186" s="2" t="s">
        <v>177</v>
      </c>
      <c r="E186" s="2" t="s">
        <v>30</v>
      </c>
      <c r="F186" s="2" t="s">
        <v>11</v>
      </c>
      <c r="G186" s="2" t="s">
        <v>22</v>
      </c>
    </row>
    <row r="187" customFormat="false" ht="23.85" hidden="false" customHeight="false" outlineLevel="0" collapsed="false">
      <c r="A187" s="2" t="s">
        <v>484</v>
      </c>
      <c r="B187" s="2" t="s">
        <v>485</v>
      </c>
      <c r="C187" s="2" t="s">
        <v>485</v>
      </c>
      <c r="D187" s="2" t="s">
        <v>177</v>
      </c>
      <c r="E187" s="2" t="s">
        <v>58</v>
      </c>
      <c r="F187" s="2" t="s">
        <v>34</v>
      </c>
      <c r="G187" s="2" t="s">
        <v>22</v>
      </c>
    </row>
    <row r="188" customFormat="false" ht="15" hidden="false" customHeight="false" outlineLevel="0" collapsed="false">
      <c r="A188" s="2" t="s">
        <v>486</v>
      </c>
      <c r="B188" s="2" t="s">
        <v>487</v>
      </c>
      <c r="C188" s="2" t="s">
        <v>487</v>
      </c>
      <c r="D188" s="2" t="s">
        <v>177</v>
      </c>
      <c r="E188" s="2" t="s">
        <v>58</v>
      </c>
      <c r="F188" s="2" t="s">
        <v>111</v>
      </c>
      <c r="G188" s="2" t="s">
        <v>59</v>
      </c>
    </row>
    <row r="189" customFormat="false" ht="23.85" hidden="false" customHeight="false" outlineLevel="0" collapsed="false">
      <c r="A189" s="2" t="s">
        <v>488</v>
      </c>
      <c r="B189" s="2" t="s">
        <v>489</v>
      </c>
      <c r="C189" s="2" t="s">
        <v>489</v>
      </c>
      <c r="D189" s="2" t="s">
        <v>177</v>
      </c>
      <c r="E189" s="2" t="s">
        <v>58</v>
      </c>
      <c r="F189" s="2" t="s">
        <v>111</v>
      </c>
      <c r="G189" s="2" t="s">
        <v>59</v>
      </c>
    </row>
    <row r="190" customFormat="false" ht="23.85" hidden="false" customHeight="false" outlineLevel="0" collapsed="false">
      <c r="A190" s="2" t="s">
        <v>490</v>
      </c>
      <c r="B190" s="2" t="s">
        <v>491</v>
      </c>
      <c r="C190" s="2" t="s">
        <v>491</v>
      </c>
      <c r="D190" s="2" t="s">
        <v>177</v>
      </c>
      <c r="E190" s="2" t="s">
        <v>58</v>
      </c>
      <c r="F190" s="2" t="s">
        <v>111</v>
      </c>
      <c r="G190" s="2" t="s">
        <v>59</v>
      </c>
    </row>
    <row r="191" customFormat="false" ht="23.85" hidden="false" customHeight="false" outlineLevel="0" collapsed="false">
      <c r="A191" s="2" t="s">
        <v>492</v>
      </c>
      <c r="B191" s="2" t="s">
        <v>493</v>
      </c>
      <c r="C191" s="2" t="s">
        <v>494</v>
      </c>
      <c r="D191" s="2" t="s">
        <v>177</v>
      </c>
      <c r="E191" s="2" t="s">
        <v>10</v>
      </c>
      <c r="F191" s="2" t="s">
        <v>34</v>
      </c>
      <c r="G191" s="2" t="s">
        <v>22</v>
      </c>
    </row>
    <row r="192" customFormat="false" ht="15" hidden="false" customHeight="false" outlineLevel="0" collapsed="false">
      <c r="A192" s="2" t="s">
        <v>495</v>
      </c>
      <c r="B192" s="2" t="s">
        <v>496</v>
      </c>
      <c r="C192" s="2" t="s">
        <v>496</v>
      </c>
      <c r="D192" s="2" t="s">
        <v>177</v>
      </c>
      <c r="E192" s="2" t="s">
        <v>58</v>
      </c>
      <c r="F192" s="2" t="s">
        <v>34</v>
      </c>
      <c r="G192" s="2" t="s">
        <v>22</v>
      </c>
    </row>
    <row r="193" customFormat="false" ht="15" hidden="false" customHeight="false" outlineLevel="0" collapsed="false">
      <c r="A193" s="2" t="s">
        <v>497</v>
      </c>
      <c r="B193" s="2" t="s">
        <v>498</v>
      </c>
      <c r="C193" s="2" t="s">
        <v>498</v>
      </c>
      <c r="D193" s="2" t="s">
        <v>177</v>
      </c>
      <c r="E193" s="2" t="s">
        <v>58</v>
      </c>
      <c r="F193" s="2" t="s">
        <v>111</v>
      </c>
      <c r="G193" s="2" t="s">
        <v>59</v>
      </c>
    </row>
    <row r="194" customFormat="false" ht="23.85" hidden="false" customHeight="false" outlineLevel="0" collapsed="false">
      <c r="A194" s="2" t="s">
        <v>499</v>
      </c>
      <c r="B194" s="2" t="s">
        <v>500</v>
      </c>
      <c r="C194" s="2" t="s">
        <v>500</v>
      </c>
      <c r="D194" s="2" t="s">
        <v>177</v>
      </c>
      <c r="E194" s="2" t="s">
        <v>73</v>
      </c>
      <c r="F194" s="2" t="s">
        <v>34</v>
      </c>
      <c r="G194" s="2" t="s">
        <v>22</v>
      </c>
    </row>
    <row r="195" customFormat="false" ht="23.85" hidden="false" customHeight="false" outlineLevel="0" collapsed="false">
      <c r="A195" s="2" t="s">
        <v>501</v>
      </c>
      <c r="B195" s="2" t="s">
        <v>502</v>
      </c>
      <c r="C195" s="2" t="s">
        <v>502</v>
      </c>
      <c r="D195" s="2" t="s">
        <v>503</v>
      </c>
      <c r="E195" s="2" t="s">
        <v>10</v>
      </c>
      <c r="F195" s="2" t="s">
        <v>34</v>
      </c>
      <c r="G195" s="2" t="s">
        <v>12</v>
      </c>
    </row>
    <row r="196" customFormat="false" ht="23.85" hidden="false" customHeight="false" outlineLevel="0" collapsed="false">
      <c r="A196" s="2" t="s">
        <v>504</v>
      </c>
      <c r="B196" s="2" t="s">
        <v>505</v>
      </c>
      <c r="C196" s="2" t="s">
        <v>505</v>
      </c>
      <c r="D196" s="2" t="s">
        <v>503</v>
      </c>
      <c r="E196" s="2" t="s">
        <v>10</v>
      </c>
      <c r="F196" s="2" t="s">
        <v>34</v>
      </c>
      <c r="G196" s="2" t="s">
        <v>22</v>
      </c>
    </row>
    <row r="197" customFormat="false" ht="23.85" hidden="false" customHeight="false" outlineLevel="0" collapsed="false">
      <c r="A197" s="2" t="s">
        <v>506</v>
      </c>
      <c r="B197" s="2" t="s">
        <v>507</v>
      </c>
      <c r="C197" s="2" t="s">
        <v>507</v>
      </c>
      <c r="D197" s="2" t="s">
        <v>503</v>
      </c>
      <c r="E197" s="2" t="s">
        <v>10</v>
      </c>
      <c r="F197" s="2" t="s">
        <v>34</v>
      </c>
      <c r="G197" s="2" t="s">
        <v>12</v>
      </c>
    </row>
    <row r="198" customFormat="false" ht="23.85" hidden="false" customHeight="false" outlineLevel="0" collapsed="false">
      <c r="A198" s="2" t="s">
        <v>508</v>
      </c>
      <c r="B198" s="2" t="s">
        <v>509</v>
      </c>
      <c r="C198" s="2" t="s">
        <v>510</v>
      </c>
      <c r="D198" s="2" t="s">
        <v>503</v>
      </c>
      <c r="E198" s="2" t="s">
        <v>10</v>
      </c>
      <c r="F198" s="2" t="s">
        <v>34</v>
      </c>
      <c r="G198" s="2" t="s">
        <v>12</v>
      </c>
    </row>
    <row r="199" customFormat="false" ht="23.85" hidden="false" customHeight="false" outlineLevel="0" collapsed="false">
      <c r="A199" s="2" t="s">
        <v>511</v>
      </c>
      <c r="B199" s="2" t="s">
        <v>512</v>
      </c>
      <c r="C199" s="2" t="s">
        <v>512</v>
      </c>
      <c r="D199" s="2" t="s">
        <v>503</v>
      </c>
      <c r="E199" s="2" t="s">
        <v>10</v>
      </c>
      <c r="F199" s="2" t="s">
        <v>34</v>
      </c>
      <c r="G199" s="2" t="s">
        <v>12</v>
      </c>
    </row>
    <row r="200" customFormat="false" ht="23.85" hidden="false" customHeight="false" outlineLevel="0" collapsed="false">
      <c r="A200" s="2" t="s">
        <v>513</v>
      </c>
      <c r="B200" s="2" t="s">
        <v>514</v>
      </c>
      <c r="C200" s="2" t="s">
        <v>514</v>
      </c>
      <c r="D200" s="2" t="s">
        <v>503</v>
      </c>
      <c r="E200" s="2" t="s">
        <v>30</v>
      </c>
      <c r="F200" s="2" t="s">
        <v>34</v>
      </c>
      <c r="G200" s="2" t="s">
        <v>22</v>
      </c>
    </row>
    <row r="201" customFormat="false" ht="23.85" hidden="false" customHeight="false" outlineLevel="0" collapsed="false">
      <c r="A201" s="2" t="s">
        <v>515</v>
      </c>
      <c r="B201" s="2" t="s">
        <v>516</v>
      </c>
      <c r="C201" s="2" t="s">
        <v>517</v>
      </c>
      <c r="D201" s="2" t="s">
        <v>503</v>
      </c>
      <c r="E201" s="2" t="s">
        <v>10</v>
      </c>
      <c r="F201" s="2" t="s">
        <v>111</v>
      </c>
      <c r="G201" s="2" t="s">
        <v>59</v>
      </c>
    </row>
    <row r="202" customFormat="false" ht="23.85" hidden="false" customHeight="false" outlineLevel="0" collapsed="false">
      <c r="A202" s="2" t="s">
        <v>518</v>
      </c>
      <c r="B202" s="2" t="s">
        <v>519</v>
      </c>
      <c r="C202" s="2" t="s">
        <v>519</v>
      </c>
      <c r="D202" s="2" t="s">
        <v>503</v>
      </c>
      <c r="E202" s="2" t="s">
        <v>21</v>
      </c>
      <c r="F202" s="2" t="s">
        <v>34</v>
      </c>
      <c r="G202" s="2" t="s">
        <v>117</v>
      </c>
    </row>
    <row r="203" customFormat="false" ht="23.85" hidden="false" customHeight="false" outlineLevel="0" collapsed="false">
      <c r="A203" s="2" t="s">
        <v>520</v>
      </c>
      <c r="B203" s="2" t="s">
        <v>521</v>
      </c>
      <c r="C203" s="2" t="s">
        <v>521</v>
      </c>
      <c r="D203" s="2" t="s">
        <v>503</v>
      </c>
      <c r="E203" s="2" t="s">
        <v>58</v>
      </c>
      <c r="F203" s="2" t="s">
        <v>111</v>
      </c>
      <c r="G203" s="2" t="s">
        <v>59</v>
      </c>
    </row>
    <row r="204" customFormat="false" ht="23.85" hidden="false" customHeight="false" outlineLevel="0" collapsed="false">
      <c r="A204" s="2" t="s">
        <v>522</v>
      </c>
      <c r="B204" s="2" t="s">
        <v>523</v>
      </c>
      <c r="C204" s="2" t="s">
        <v>524</v>
      </c>
      <c r="D204" s="2" t="s">
        <v>503</v>
      </c>
      <c r="E204" s="2" t="s">
        <v>10</v>
      </c>
      <c r="F204" s="2" t="s">
        <v>111</v>
      </c>
      <c r="G204" s="2" t="s">
        <v>59</v>
      </c>
    </row>
    <row r="205" customFormat="false" ht="23.85" hidden="false" customHeight="false" outlineLevel="0" collapsed="false">
      <c r="A205" s="2" t="s">
        <v>525</v>
      </c>
      <c r="B205" s="2" t="s">
        <v>526</v>
      </c>
      <c r="C205" s="2" t="s">
        <v>526</v>
      </c>
      <c r="D205" s="2" t="s">
        <v>503</v>
      </c>
      <c r="E205" s="2" t="s">
        <v>10</v>
      </c>
      <c r="F205" s="2" t="s">
        <v>111</v>
      </c>
      <c r="G205" s="2" t="s">
        <v>59</v>
      </c>
    </row>
    <row r="206" customFormat="false" ht="23.85" hidden="false" customHeight="false" outlineLevel="0" collapsed="false">
      <c r="A206" s="2" t="s">
        <v>527</v>
      </c>
      <c r="B206" s="2" t="s">
        <v>528</v>
      </c>
      <c r="C206" s="2" t="s">
        <v>528</v>
      </c>
      <c r="D206" s="2" t="s">
        <v>503</v>
      </c>
      <c r="E206" s="2" t="s">
        <v>439</v>
      </c>
      <c r="F206" s="2" t="s">
        <v>34</v>
      </c>
      <c r="G206" s="2" t="s">
        <v>22</v>
      </c>
    </row>
    <row r="207" customFormat="false" ht="15" hidden="false" customHeight="false" outlineLevel="0" collapsed="false">
      <c r="A207" s="2" t="s">
        <v>529</v>
      </c>
      <c r="B207" s="2" t="s">
        <v>530</v>
      </c>
      <c r="C207" s="2" t="s">
        <v>530</v>
      </c>
      <c r="D207" s="2" t="s">
        <v>503</v>
      </c>
      <c r="E207" s="2" t="s">
        <v>10</v>
      </c>
      <c r="F207" s="2" t="s">
        <v>34</v>
      </c>
      <c r="G207" s="2" t="s">
        <v>12</v>
      </c>
    </row>
    <row r="208" customFormat="false" ht="23.85" hidden="false" customHeight="false" outlineLevel="0" collapsed="false">
      <c r="A208" s="2" t="s">
        <v>531</v>
      </c>
      <c r="B208" s="2" t="s">
        <v>532</v>
      </c>
      <c r="C208" s="2" t="s">
        <v>532</v>
      </c>
      <c r="D208" s="2" t="s">
        <v>533</v>
      </c>
      <c r="E208" s="2" t="s">
        <v>63</v>
      </c>
      <c r="F208" s="2" t="s">
        <v>11</v>
      </c>
      <c r="G208" s="2" t="s">
        <v>12</v>
      </c>
    </row>
    <row r="209" customFormat="false" ht="23.85" hidden="false" customHeight="false" outlineLevel="0" collapsed="false">
      <c r="A209" s="2" t="s">
        <v>534</v>
      </c>
      <c r="B209" s="2" t="s">
        <v>535</v>
      </c>
      <c r="C209" s="2" t="s">
        <v>536</v>
      </c>
      <c r="D209" s="2" t="s">
        <v>533</v>
      </c>
      <c r="E209" s="2" t="s">
        <v>10</v>
      </c>
      <c r="F209" s="2" t="s">
        <v>34</v>
      </c>
      <c r="G209" s="2" t="s">
        <v>22</v>
      </c>
    </row>
    <row r="210" customFormat="false" ht="23.85" hidden="false" customHeight="false" outlineLevel="0" collapsed="false">
      <c r="A210" s="2" t="s">
        <v>537</v>
      </c>
      <c r="B210" s="2" t="s">
        <v>538</v>
      </c>
      <c r="C210" s="2" t="s">
        <v>538</v>
      </c>
      <c r="D210" s="2" t="s">
        <v>533</v>
      </c>
      <c r="E210" s="2" t="s">
        <v>10</v>
      </c>
      <c r="F210" s="2" t="s">
        <v>34</v>
      </c>
      <c r="G210" s="2" t="s">
        <v>12</v>
      </c>
    </row>
    <row r="211" customFormat="false" ht="23.85" hidden="false" customHeight="false" outlineLevel="0" collapsed="false">
      <c r="A211" s="2" t="s">
        <v>539</v>
      </c>
      <c r="B211" s="2" t="s">
        <v>540</v>
      </c>
      <c r="C211" s="2" t="s">
        <v>541</v>
      </c>
      <c r="D211" s="2" t="s">
        <v>533</v>
      </c>
      <c r="E211" s="2" t="s">
        <v>21</v>
      </c>
      <c r="F211" s="2" t="s">
        <v>34</v>
      </c>
      <c r="G211" s="2" t="s">
        <v>22</v>
      </c>
    </row>
    <row r="212" customFormat="false" ht="23.85" hidden="false" customHeight="false" outlineLevel="0" collapsed="false">
      <c r="A212" s="2" t="s">
        <v>542</v>
      </c>
      <c r="B212" s="2" t="s">
        <v>543</v>
      </c>
      <c r="C212" s="2" t="s">
        <v>544</v>
      </c>
      <c r="D212" s="2" t="s">
        <v>533</v>
      </c>
      <c r="E212" s="2" t="s">
        <v>30</v>
      </c>
      <c r="F212" s="2" t="s">
        <v>34</v>
      </c>
      <c r="G212" s="2" t="s">
        <v>22</v>
      </c>
    </row>
    <row r="213" customFormat="false" ht="23.85" hidden="false" customHeight="false" outlineLevel="0" collapsed="false">
      <c r="A213" s="2" t="s">
        <v>545</v>
      </c>
      <c r="B213" s="2" t="s">
        <v>546</v>
      </c>
      <c r="C213" s="2" t="s">
        <v>546</v>
      </c>
      <c r="D213" s="2" t="s">
        <v>533</v>
      </c>
      <c r="E213" s="2" t="s">
        <v>63</v>
      </c>
      <c r="F213" s="2" t="s">
        <v>34</v>
      </c>
      <c r="G213" s="2" t="s">
        <v>12</v>
      </c>
    </row>
    <row r="214" customFormat="false" ht="23.85" hidden="false" customHeight="false" outlineLevel="0" collapsed="false">
      <c r="A214" s="2" t="s">
        <v>547</v>
      </c>
      <c r="B214" s="2" t="s">
        <v>548</v>
      </c>
      <c r="C214" s="2" t="s">
        <v>548</v>
      </c>
      <c r="D214" s="2" t="s">
        <v>533</v>
      </c>
      <c r="E214" s="2" t="s">
        <v>63</v>
      </c>
      <c r="F214" s="2" t="s">
        <v>11</v>
      </c>
      <c r="G214" s="2" t="s">
        <v>12</v>
      </c>
    </row>
    <row r="215" customFormat="false" ht="15" hidden="false" customHeight="false" outlineLevel="0" collapsed="false">
      <c r="A215" s="2" t="s">
        <v>549</v>
      </c>
      <c r="B215" s="2" t="s">
        <v>550</v>
      </c>
      <c r="C215" s="2" t="s">
        <v>550</v>
      </c>
      <c r="D215" s="2" t="s">
        <v>533</v>
      </c>
      <c r="E215" s="2" t="s">
        <v>10</v>
      </c>
      <c r="F215" s="2" t="s">
        <v>11</v>
      </c>
      <c r="G215" s="2" t="s">
        <v>12</v>
      </c>
    </row>
    <row r="216" customFormat="false" ht="15" hidden="false" customHeight="false" outlineLevel="0" collapsed="false">
      <c r="A216" s="2" t="s">
        <v>551</v>
      </c>
      <c r="B216" s="2" t="s">
        <v>552</v>
      </c>
      <c r="C216" s="2" t="s">
        <v>552</v>
      </c>
      <c r="D216" s="2" t="s">
        <v>533</v>
      </c>
      <c r="E216" s="2" t="s">
        <v>439</v>
      </c>
      <c r="F216" s="2" t="s">
        <v>34</v>
      </c>
      <c r="G216" s="2" t="s">
        <v>12</v>
      </c>
    </row>
    <row r="217" customFormat="false" ht="23.85" hidden="false" customHeight="false" outlineLevel="0" collapsed="false">
      <c r="A217" s="2" t="s">
        <v>553</v>
      </c>
      <c r="B217" s="2" t="s">
        <v>554</v>
      </c>
      <c r="C217" s="2" t="s">
        <v>554</v>
      </c>
      <c r="D217" s="2" t="s">
        <v>533</v>
      </c>
      <c r="E217" s="2" t="s">
        <v>63</v>
      </c>
      <c r="F217" s="2" t="s">
        <v>11</v>
      </c>
      <c r="G217" s="2" t="s">
        <v>12</v>
      </c>
    </row>
    <row r="218" customFormat="false" ht="23.85" hidden="false" customHeight="false" outlineLevel="0" collapsed="false">
      <c r="A218" s="2" t="s">
        <v>555</v>
      </c>
      <c r="B218" s="2" t="s">
        <v>556</v>
      </c>
      <c r="C218" s="2" t="s">
        <v>556</v>
      </c>
      <c r="D218" s="2" t="s">
        <v>533</v>
      </c>
      <c r="E218" s="2" t="s">
        <v>439</v>
      </c>
      <c r="F218" s="2" t="s">
        <v>34</v>
      </c>
      <c r="G218" s="2" t="s">
        <v>22</v>
      </c>
    </row>
    <row r="219" customFormat="false" ht="15" hidden="false" customHeight="false" outlineLevel="0" collapsed="false">
      <c r="A219" s="2" t="s">
        <v>557</v>
      </c>
      <c r="B219" s="2" t="s">
        <v>558</v>
      </c>
      <c r="C219" s="2" t="s">
        <v>558</v>
      </c>
      <c r="D219" s="2" t="s">
        <v>533</v>
      </c>
      <c r="E219" s="2" t="s">
        <v>10</v>
      </c>
      <c r="F219" s="2" t="s">
        <v>11</v>
      </c>
      <c r="G219" s="2" t="s">
        <v>12</v>
      </c>
    </row>
    <row r="220" customFormat="false" ht="23.85" hidden="false" customHeight="false" outlineLevel="0" collapsed="false">
      <c r="A220" s="2" t="s">
        <v>559</v>
      </c>
      <c r="B220" s="2" t="s">
        <v>560</v>
      </c>
      <c r="C220" s="2" t="s">
        <v>560</v>
      </c>
      <c r="D220" s="2" t="s">
        <v>561</v>
      </c>
      <c r="E220" s="2" t="s">
        <v>30</v>
      </c>
      <c r="F220" s="2" t="s">
        <v>11</v>
      </c>
      <c r="G220" s="2" t="s">
        <v>22</v>
      </c>
    </row>
    <row r="221" customFormat="false" ht="15" hidden="false" customHeight="false" outlineLevel="0" collapsed="false">
      <c r="A221" s="2" t="s">
        <v>562</v>
      </c>
      <c r="B221" s="2" t="s">
        <v>563</v>
      </c>
      <c r="C221" s="2" t="s">
        <v>563</v>
      </c>
      <c r="D221" s="2" t="s">
        <v>561</v>
      </c>
      <c r="E221" s="2" t="s">
        <v>30</v>
      </c>
      <c r="F221" s="2" t="s">
        <v>34</v>
      </c>
      <c r="G221" s="2" t="s">
        <v>22</v>
      </c>
    </row>
    <row r="222" customFormat="false" ht="23.85" hidden="false" customHeight="false" outlineLevel="0" collapsed="false">
      <c r="A222" s="2" t="s">
        <v>564</v>
      </c>
      <c r="B222" s="2" t="s">
        <v>565</v>
      </c>
      <c r="C222" s="2" t="s">
        <v>565</v>
      </c>
      <c r="D222" s="2" t="s">
        <v>561</v>
      </c>
      <c r="E222" s="2" t="s">
        <v>58</v>
      </c>
      <c r="F222" s="2" t="s">
        <v>111</v>
      </c>
      <c r="G222" s="2" t="s">
        <v>59</v>
      </c>
    </row>
    <row r="223" customFormat="false" ht="23.85" hidden="false" customHeight="false" outlineLevel="0" collapsed="false">
      <c r="A223" s="2" t="s">
        <v>566</v>
      </c>
      <c r="B223" s="2" t="s">
        <v>567</v>
      </c>
      <c r="C223" s="2" t="s">
        <v>568</v>
      </c>
      <c r="D223" s="2" t="s">
        <v>561</v>
      </c>
      <c r="E223" s="2" t="s">
        <v>30</v>
      </c>
      <c r="F223" s="2" t="s">
        <v>11</v>
      </c>
      <c r="G223" s="2" t="s">
        <v>22</v>
      </c>
    </row>
    <row r="224" customFormat="false" ht="23.85" hidden="false" customHeight="false" outlineLevel="0" collapsed="false">
      <c r="A224" s="2" t="s">
        <v>569</v>
      </c>
      <c r="B224" s="2" t="s">
        <v>570</v>
      </c>
      <c r="C224" s="2" t="s">
        <v>570</v>
      </c>
      <c r="D224" s="2" t="s">
        <v>561</v>
      </c>
      <c r="E224" s="2" t="s">
        <v>58</v>
      </c>
      <c r="F224" s="2" t="s">
        <v>111</v>
      </c>
      <c r="G224" s="2" t="s">
        <v>59</v>
      </c>
    </row>
    <row r="225" customFormat="false" ht="23.85" hidden="false" customHeight="false" outlineLevel="0" collapsed="false">
      <c r="A225" s="2" t="s">
        <v>571</v>
      </c>
      <c r="B225" s="2" t="s">
        <v>572</v>
      </c>
      <c r="C225" s="2" t="s">
        <v>573</v>
      </c>
      <c r="D225" s="2" t="s">
        <v>561</v>
      </c>
      <c r="E225" s="2" t="s">
        <v>10</v>
      </c>
      <c r="F225" s="2" t="s">
        <v>34</v>
      </c>
      <c r="G225" s="2" t="s">
        <v>22</v>
      </c>
    </row>
    <row r="226" customFormat="false" ht="23.85" hidden="false" customHeight="false" outlineLevel="0" collapsed="false">
      <c r="A226" s="2" t="s">
        <v>574</v>
      </c>
      <c r="B226" s="2" t="s">
        <v>575</v>
      </c>
      <c r="C226" s="2" t="s">
        <v>576</v>
      </c>
      <c r="D226" s="2" t="s">
        <v>561</v>
      </c>
      <c r="E226" s="2" t="s">
        <v>30</v>
      </c>
      <c r="F226" s="2" t="s">
        <v>34</v>
      </c>
      <c r="G226" s="2" t="s">
        <v>117</v>
      </c>
    </row>
    <row r="227" customFormat="false" ht="15" hidden="false" customHeight="false" outlineLevel="0" collapsed="false">
      <c r="A227" s="2" t="s">
        <v>577</v>
      </c>
      <c r="B227" s="2" t="s">
        <v>578</v>
      </c>
      <c r="C227" s="2" t="s">
        <v>578</v>
      </c>
      <c r="D227" s="2" t="s">
        <v>561</v>
      </c>
      <c r="E227" s="2" t="s">
        <v>30</v>
      </c>
      <c r="F227" s="2" t="s">
        <v>34</v>
      </c>
      <c r="G227" s="2" t="s">
        <v>22</v>
      </c>
    </row>
    <row r="228" customFormat="false" ht="23.85" hidden="false" customHeight="false" outlineLevel="0" collapsed="false">
      <c r="A228" s="2" t="s">
        <v>579</v>
      </c>
      <c r="B228" s="2" t="s">
        <v>580</v>
      </c>
      <c r="C228" s="2" t="s">
        <v>580</v>
      </c>
      <c r="D228" s="2" t="s">
        <v>561</v>
      </c>
      <c r="E228" s="2" t="s">
        <v>58</v>
      </c>
      <c r="F228" s="2" t="s">
        <v>111</v>
      </c>
      <c r="G228" s="2" t="s">
        <v>59</v>
      </c>
    </row>
    <row r="229" customFormat="false" ht="23.85" hidden="false" customHeight="false" outlineLevel="0" collapsed="false">
      <c r="A229" s="2" t="s">
        <v>581</v>
      </c>
      <c r="B229" s="2" t="s">
        <v>582</v>
      </c>
      <c r="C229" s="2" t="s">
        <v>582</v>
      </c>
      <c r="D229" s="2" t="s">
        <v>561</v>
      </c>
      <c r="E229" s="2" t="s">
        <v>58</v>
      </c>
      <c r="F229" s="2" t="s">
        <v>111</v>
      </c>
      <c r="G229" s="2" t="s">
        <v>59</v>
      </c>
    </row>
    <row r="230" customFormat="false" ht="15" hidden="false" customHeight="false" outlineLevel="0" collapsed="false">
      <c r="A230" s="2" t="s">
        <v>583</v>
      </c>
      <c r="B230" s="2" t="s">
        <v>584</v>
      </c>
      <c r="C230" s="2" t="s">
        <v>584</v>
      </c>
      <c r="D230" s="2" t="s">
        <v>561</v>
      </c>
      <c r="E230" s="2" t="s">
        <v>58</v>
      </c>
      <c r="F230" s="2" t="s">
        <v>111</v>
      </c>
      <c r="G230" s="2" t="s">
        <v>59</v>
      </c>
    </row>
    <row r="231" customFormat="false" ht="15" hidden="false" customHeight="false" outlineLevel="0" collapsed="false">
      <c r="A231" s="2" t="s">
        <v>585</v>
      </c>
      <c r="B231" s="2" t="s">
        <v>586</v>
      </c>
      <c r="C231" s="2" t="s">
        <v>586</v>
      </c>
      <c r="D231" s="2" t="s">
        <v>561</v>
      </c>
      <c r="E231" s="2" t="s">
        <v>58</v>
      </c>
      <c r="F231" s="2" t="s">
        <v>111</v>
      </c>
      <c r="G231" s="2" t="s">
        <v>59</v>
      </c>
    </row>
    <row r="232" customFormat="false" ht="23.85" hidden="false" customHeight="false" outlineLevel="0" collapsed="false">
      <c r="A232" s="2" t="s">
        <v>587</v>
      </c>
      <c r="B232" s="2" t="s">
        <v>588</v>
      </c>
      <c r="C232" s="2" t="s">
        <v>589</v>
      </c>
      <c r="D232" s="2" t="s">
        <v>590</v>
      </c>
      <c r="E232" s="2" t="s">
        <v>58</v>
      </c>
      <c r="F232" s="2" t="s">
        <v>34</v>
      </c>
      <c r="G232" s="2" t="s">
        <v>64</v>
      </c>
    </row>
    <row r="233" customFormat="false" ht="23.85" hidden="false" customHeight="false" outlineLevel="0" collapsed="false">
      <c r="A233" s="2" t="s">
        <v>591</v>
      </c>
      <c r="B233" s="2" t="s">
        <v>592</v>
      </c>
      <c r="C233" s="2" t="s">
        <v>593</v>
      </c>
      <c r="D233" s="2" t="s">
        <v>590</v>
      </c>
      <c r="E233" s="2" t="s">
        <v>58</v>
      </c>
      <c r="F233" s="2" t="s">
        <v>34</v>
      </c>
      <c r="G233" s="2" t="s">
        <v>64</v>
      </c>
    </row>
    <row r="234" customFormat="false" ht="23.85" hidden="false" customHeight="false" outlineLevel="0" collapsed="false">
      <c r="A234" s="2" t="s">
        <v>594</v>
      </c>
      <c r="B234" s="2" t="s">
        <v>595</v>
      </c>
      <c r="C234" s="2" t="s">
        <v>595</v>
      </c>
      <c r="D234" s="2" t="s">
        <v>590</v>
      </c>
      <c r="E234" s="2" t="s">
        <v>58</v>
      </c>
      <c r="F234" s="2" t="s">
        <v>111</v>
      </c>
      <c r="G234" s="2" t="s">
        <v>59</v>
      </c>
    </row>
    <row r="235" customFormat="false" ht="23.85" hidden="false" customHeight="false" outlineLevel="0" collapsed="false">
      <c r="A235" s="2" t="s">
        <v>596</v>
      </c>
      <c r="B235" s="2" t="s">
        <v>597</v>
      </c>
      <c r="C235" s="2" t="s">
        <v>597</v>
      </c>
      <c r="D235" s="2" t="s">
        <v>590</v>
      </c>
      <c r="E235" s="2" t="s">
        <v>58</v>
      </c>
      <c r="F235" s="2" t="s">
        <v>111</v>
      </c>
      <c r="G235" s="2" t="s">
        <v>59</v>
      </c>
    </row>
    <row r="236" customFormat="false" ht="23.85" hidden="false" customHeight="false" outlineLevel="0" collapsed="false">
      <c r="A236" s="2" t="s">
        <v>598</v>
      </c>
      <c r="B236" s="2" t="s">
        <v>599</v>
      </c>
      <c r="C236" s="2" t="s">
        <v>599</v>
      </c>
      <c r="D236" s="2" t="s">
        <v>590</v>
      </c>
      <c r="E236" s="2" t="s">
        <v>73</v>
      </c>
      <c r="F236" s="2" t="s">
        <v>34</v>
      </c>
      <c r="G236" s="2" t="s">
        <v>64</v>
      </c>
    </row>
    <row r="237" customFormat="false" ht="23.85" hidden="false" customHeight="false" outlineLevel="0" collapsed="false">
      <c r="A237" s="2" t="s">
        <v>600</v>
      </c>
      <c r="B237" s="2" t="s">
        <v>601</v>
      </c>
      <c r="C237" s="2" t="s">
        <v>602</v>
      </c>
      <c r="D237" s="2" t="s">
        <v>590</v>
      </c>
      <c r="E237" s="2" t="s">
        <v>58</v>
      </c>
      <c r="F237" s="2" t="s">
        <v>111</v>
      </c>
      <c r="G237" s="2" t="s">
        <v>59</v>
      </c>
    </row>
    <row r="238" customFormat="false" ht="23.85" hidden="false" customHeight="false" outlineLevel="0" collapsed="false">
      <c r="A238" s="2" t="s">
        <v>603</v>
      </c>
      <c r="B238" s="2" t="s">
        <v>604</v>
      </c>
      <c r="C238" s="2" t="s">
        <v>605</v>
      </c>
      <c r="D238" s="2" t="s">
        <v>590</v>
      </c>
      <c r="E238" s="2" t="s">
        <v>58</v>
      </c>
      <c r="F238" s="2" t="s">
        <v>111</v>
      </c>
      <c r="G238" s="2" t="s">
        <v>59</v>
      </c>
    </row>
    <row r="239" customFormat="false" ht="15" hidden="false" customHeight="false" outlineLevel="0" collapsed="false">
      <c r="A239" s="2" t="s">
        <v>606</v>
      </c>
      <c r="B239" s="2" t="s">
        <v>607</v>
      </c>
      <c r="C239" s="2" t="s">
        <v>607</v>
      </c>
      <c r="D239" s="2" t="s">
        <v>590</v>
      </c>
      <c r="E239" s="2" t="s">
        <v>58</v>
      </c>
      <c r="F239" s="2" t="s">
        <v>111</v>
      </c>
      <c r="G239" s="2" t="s">
        <v>59</v>
      </c>
    </row>
    <row r="240" customFormat="false" ht="23.85" hidden="false" customHeight="false" outlineLevel="0" collapsed="false">
      <c r="A240" s="2" t="s">
        <v>608</v>
      </c>
      <c r="B240" s="2" t="s">
        <v>609</v>
      </c>
      <c r="C240" s="2" t="s">
        <v>609</v>
      </c>
      <c r="D240" s="2" t="s">
        <v>590</v>
      </c>
      <c r="E240" s="2" t="s">
        <v>439</v>
      </c>
      <c r="F240" s="2" t="s">
        <v>11</v>
      </c>
      <c r="G240" s="2" t="s">
        <v>64</v>
      </c>
    </row>
    <row r="241" customFormat="false" ht="23.85" hidden="false" customHeight="false" outlineLevel="0" collapsed="false">
      <c r="A241" s="2" t="s">
        <v>610</v>
      </c>
      <c r="B241" s="2" t="s">
        <v>611</v>
      </c>
      <c r="C241" s="2" t="s">
        <v>611</v>
      </c>
      <c r="D241" s="2" t="s">
        <v>590</v>
      </c>
      <c r="E241" s="2" t="s">
        <v>58</v>
      </c>
      <c r="F241" s="2" t="s">
        <v>111</v>
      </c>
      <c r="G241" s="2" t="s">
        <v>59</v>
      </c>
    </row>
    <row r="242" customFormat="false" ht="23.85" hidden="false" customHeight="false" outlineLevel="0" collapsed="false">
      <c r="A242" s="2" t="s">
        <v>612</v>
      </c>
      <c r="B242" s="2" t="s">
        <v>613</v>
      </c>
      <c r="C242" s="2" t="s">
        <v>613</v>
      </c>
      <c r="D242" s="2" t="s">
        <v>590</v>
      </c>
      <c r="E242" s="2" t="s">
        <v>439</v>
      </c>
      <c r="F242" s="2" t="s">
        <v>34</v>
      </c>
      <c r="G242" s="2" t="s">
        <v>64</v>
      </c>
    </row>
    <row r="243" customFormat="false" ht="23.85" hidden="false" customHeight="false" outlineLevel="0" collapsed="false">
      <c r="A243" s="2" t="s">
        <v>614</v>
      </c>
      <c r="B243" s="2" t="s">
        <v>615</v>
      </c>
      <c r="C243" s="2" t="s">
        <v>615</v>
      </c>
      <c r="D243" s="2" t="s">
        <v>590</v>
      </c>
      <c r="E243" s="2" t="s">
        <v>439</v>
      </c>
      <c r="F243" s="2" t="s">
        <v>11</v>
      </c>
      <c r="G243" s="2" t="s">
        <v>64</v>
      </c>
    </row>
    <row r="244" customFormat="false" ht="23.85" hidden="false" customHeight="false" outlineLevel="0" collapsed="false">
      <c r="A244" s="2" t="s">
        <v>616</v>
      </c>
      <c r="B244" s="2" t="s">
        <v>617</v>
      </c>
      <c r="C244" s="2" t="s">
        <v>617</v>
      </c>
      <c r="D244" s="2" t="s">
        <v>618</v>
      </c>
      <c r="E244" s="2" t="s">
        <v>58</v>
      </c>
      <c r="F244" s="2" t="s">
        <v>11</v>
      </c>
      <c r="G244" s="2" t="s">
        <v>12</v>
      </c>
    </row>
    <row r="245" customFormat="false" ht="35.05" hidden="false" customHeight="false" outlineLevel="0" collapsed="false">
      <c r="A245" s="2" t="s">
        <v>619</v>
      </c>
      <c r="B245" s="2" t="s">
        <v>620</v>
      </c>
      <c r="C245" s="2" t="s">
        <v>620</v>
      </c>
      <c r="D245" s="2" t="s">
        <v>618</v>
      </c>
      <c r="E245" s="2" t="s">
        <v>58</v>
      </c>
      <c r="F245" s="2" t="s">
        <v>11</v>
      </c>
      <c r="G245" s="2" t="s">
        <v>12</v>
      </c>
    </row>
    <row r="246" customFormat="false" ht="23.85" hidden="false" customHeight="false" outlineLevel="0" collapsed="false">
      <c r="A246" s="2" t="s">
        <v>621</v>
      </c>
      <c r="B246" s="2" t="s">
        <v>622</v>
      </c>
      <c r="C246" s="2" t="s">
        <v>622</v>
      </c>
      <c r="D246" s="2" t="s">
        <v>618</v>
      </c>
      <c r="E246" s="2" t="s">
        <v>10</v>
      </c>
      <c r="F246" s="2" t="s">
        <v>11</v>
      </c>
      <c r="G246" s="2" t="s">
        <v>12</v>
      </c>
    </row>
    <row r="247" customFormat="false" ht="15" hidden="false" customHeight="false" outlineLevel="0" collapsed="false">
      <c r="A247" s="2" t="s">
        <v>623</v>
      </c>
      <c r="B247" s="2" t="s">
        <v>624</v>
      </c>
      <c r="C247" s="2" t="s">
        <v>624</v>
      </c>
      <c r="D247" s="2" t="s">
        <v>618</v>
      </c>
      <c r="E247" s="2" t="s">
        <v>10</v>
      </c>
      <c r="F247" s="2" t="s">
        <v>11</v>
      </c>
      <c r="G247" s="2" t="s">
        <v>12</v>
      </c>
    </row>
    <row r="248" customFormat="false" ht="23.85" hidden="false" customHeight="false" outlineLevel="0" collapsed="false">
      <c r="A248" s="2" t="s">
        <v>625</v>
      </c>
      <c r="B248" s="2" t="s">
        <v>626</v>
      </c>
      <c r="C248" s="2" t="s">
        <v>626</v>
      </c>
      <c r="D248" s="2" t="s">
        <v>618</v>
      </c>
      <c r="E248" s="2" t="s">
        <v>10</v>
      </c>
      <c r="F248" s="2" t="s">
        <v>34</v>
      </c>
      <c r="G248" s="2" t="s">
        <v>12</v>
      </c>
    </row>
    <row r="249" customFormat="false" ht="23.85" hidden="false" customHeight="false" outlineLevel="0" collapsed="false">
      <c r="A249" s="2" t="s">
        <v>627</v>
      </c>
      <c r="B249" s="2" t="s">
        <v>628</v>
      </c>
      <c r="C249" s="2" t="s">
        <v>628</v>
      </c>
      <c r="D249" s="2" t="s">
        <v>618</v>
      </c>
      <c r="E249" s="2" t="s">
        <v>10</v>
      </c>
      <c r="F249" s="2" t="s">
        <v>11</v>
      </c>
      <c r="G249" s="2" t="s">
        <v>12</v>
      </c>
    </row>
    <row r="250" customFormat="false" ht="23.85" hidden="false" customHeight="false" outlineLevel="0" collapsed="false">
      <c r="A250" s="2" t="s">
        <v>629</v>
      </c>
      <c r="B250" s="2" t="s">
        <v>630</v>
      </c>
      <c r="C250" s="2" t="s">
        <v>630</v>
      </c>
      <c r="D250" s="2" t="s">
        <v>618</v>
      </c>
      <c r="E250" s="2" t="s">
        <v>30</v>
      </c>
      <c r="F250" s="2" t="s">
        <v>34</v>
      </c>
      <c r="G250" s="2" t="s">
        <v>22</v>
      </c>
    </row>
    <row r="251" customFormat="false" ht="23.85" hidden="false" customHeight="false" outlineLevel="0" collapsed="false">
      <c r="A251" s="2" t="s">
        <v>631</v>
      </c>
      <c r="B251" s="2" t="s">
        <v>632</v>
      </c>
      <c r="C251" s="2" t="s">
        <v>632</v>
      </c>
      <c r="D251" s="2" t="s">
        <v>618</v>
      </c>
      <c r="E251" s="2" t="s">
        <v>10</v>
      </c>
      <c r="F251" s="2" t="s">
        <v>11</v>
      </c>
      <c r="G251" s="2" t="s">
        <v>12</v>
      </c>
    </row>
    <row r="252" customFormat="false" ht="23.85" hidden="false" customHeight="false" outlineLevel="0" collapsed="false">
      <c r="A252" s="2" t="s">
        <v>633</v>
      </c>
      <c r="B252" s="2" t="s">
        <v>634</v>
      </c>
      <c r="C252" s="2" t="s">
        <v>635</v>
      </c>
      <c r="D252" s="2" t="s">
        <v>618</v>
      </c>
      <c r="E252" s="2" t="s">
        <v>58</v>
      </c>
      <c r="F252" s="2" t="s">
        <v>34</v>
      </c>
      <c r="G252" s="2" t="s">
        <v>22</v>
      </c>
    </row>
    <row r="253" customFormat="false" ht="23.85" hidden="false" customHeight="false" outlineLevel="0" collapsed="false">
      <c r="A253" s="2" t="s">
        <v>636</v>
      </c>
      <c r="B253" s="2" t="s">
        <v>637</v>
      </c>
      <c r="C253" s="2" t="s">
        <v>638</v>
      </c>
      <c r="D253" s="2" t="s">
        <v>618</v>
      </c>
      <c r="E253" s="2" t="s">
        <v>58</v>
      </c>
      <c r="F253" s="2" t="s">
        <v>34</v>
      </c>
      <c r="G253" s="2" t="s">
        <v>117</v>
      </c>
    </row>
    <row r="254" customFormat="false" ht="23.85" hidden="false" customHeight="false" outlineLevel="0" collapsed="false">
      <c r="A254" s="2" t="s">
        <v>639</v>
      </c>
      <c r="B254" s="2" t="s">
        <v>640</v>
      </c>
      <c r="C254" s="2" t="s">
        <v>640</v>
      </c>
      <c r="D254" s="2" t="s">
        <v>618</v>
      </c>
      <c r="E254" s="2" t="s">
        <v>73</v>
      </c>
      <c r="F254" s="2" t="s">
        <v>111</v>
      </c>
      <c r="G254" s="2" t="s">
        <v>59</v>
      </c>
    </row>
    <row r="255" customFormat="false" ht="23.85" hidden="false" customHeight="false" outlineLevel="0" collapsed="false">
      <c r="A255" s="2" t="s">
        <v>641</v>
      </c>
      <c r="B255" s="2" t="s">
        <v>642</v>
      </c>
      <c r="C255" s="2" t="s">
        <v>642</v>
      </c>
      <c r="D255" s="2" t="s">
        <v>618</v>
      </c>
      <c r="E255" s="2" t="s">
        <v>439</v>
      </c>
      <c r="F255" s="2" t="s">
        <v>11</v>
      </c>
      <c r="G255" s="2" t="s">
        <v>12</v>
      </c>
    </row>
    <row r="256" customFormat="false" ht="23.85" hidden="false" customHeight="false" outlineLevel="0" collapsed="false">
      <c r="A256" s="2" t="s">
        <v>643</v>
      </c>
      <c r="B256" s="2" t="s">
        <v>644</v>
      </c>
      <c r="C256" s="2" t="s">
        <v>644</v>
      </c>
      <c r="D256" s="2" t="s">
        <v>645</v>
      </c>
      <c r="E256" s="2" t="s">
        <v>10</v>
      </c>
      <c r="F256" s="2" t="s">
        <v>11</v>
      </c>
      <c r="G256" s="2" t="s">
        <v>12</v>
      </c>
    </row>
    <row r="257" customFormat="false" ht="23.85" hidden="false" customHeight="false" outlineLevel="0" collapsed="false">
      <c r="A257" s="2" t="s">
        <v>646</v>
      </c>
      <c r="B257" s="2" t="s">
        <v>647</v>
      </c>
      <c r="C257" s="2" t="s">
        <v>648</v>
      </c>
      <c r="D257" s="2" t="s">
        <v>645</v>
      </c>
      <c r="E257" s="2" t="s">
        <v>10</v>
      </c>
      <c r="F257" s="2" t="s">
        <v>11</v>
      </c>
      <c r="G257" s="2" t="s">
        <v>12</v>
      </c>
    </row>
    <row r="258" customFormat="false" ht="23.85" hidden="false" customHeight="false" outlineLevel="0" collapsed="false">
      <c r="A258" s="2" t="s">
        <v>649</v>
      </c>
      <c r="B258" s="2" t="s">
        <v>650</v>
      </c>
      <c r="C258" s="2" t="s">
        <v>651</v>
      </c>
      <c r="D258" s="2" t="s">
        <v>645</v>
      </c>
      <c r="E258" s="2" t="s">
        <v>10</v>
      </c>
      <c r="F258" s="2" t="s">
        <v>34</v>
      </c>
      <c r="G258" s="2" t="s">
        <v>12</v>
      </c>
    </row>
    <row r="259" customFormat="false" ht="23.85" hidden="false" customHeight="false" outlineLevel="0" collapsed="false">
      <c r="A259" s="2" t="s">
        <v>652</v>
      </c>
      <c r="B259" s="2" t="s">
        <v>653</v>
      </c>
      <c r="C259" s="2" t="s">
        <v>654</v>
      </c>
      <c r="D259" s="2" t="s">
        <v>645</v>
      </c>
      <c r="E259" s="2" t="s">
        <v>10</v>
      </c>
      <c r="F259" s="2" t="s">
        <v>11</v>
      </c>
      <c r="G259" s="2" t="s">
        <v>12</v>
      </c>
    </row>
    <row r="260" customFormat="false" ht="23.85" hidden="false" customHeight="false" outlineLevel="0" collapsed="false">
      <c r="A260" s="2" t="s">
        <v>655</v>
      </c>
      <c r="B260" s="2" t="s">
        <v>656</v>
      </c>
      <c r="C260" s="2" t="s">
        <v>657</v>
      </c>
      <c r="D260" s="2" t="s">
        <v>645</v>
      </c>
      <c r="E260" s="2" t="s">
        <v>10</v>
      </c>
      <c r="F260" s="2" t="s">
        <v>11</v>
      </c>
      <c r="G260" s="2" t="s">
        <v>12</v>
      </c>
    </row>
    <row r="261" customFormat="false" ht="35.05" hidden="false" customHeight="false" outlineLevel="0" collapsed="false">
      <c r="A261" s="2" t="s">
        <v>658</v>
      </c>
      <c r="B261" s="2" t="s">
        <v>659</v>
      </c>
      <c r="C261" s="2" t="s">
        <v>660</v>
      </c>
      <c r="D261" s="2" t="s">
        <v>645</v>
      </c>
      <c r="E261" s="2" t="s">
        <v>10</v>
      </c>
      <c r="F261" s="2" t="s">
        <v>11</v>
      </c>
      <c r="G261" s="2" t="s">
        <v>12</v>
      </c>
    </row>
    <row r="262" customFormat="false" ht="23.85" hidden="false" customHeight="false" outlineLevel="0" collapsed="false">
      <c r="A262" s="2" t="s">
        <v>661</v>
      </c>
      <c r="B262" s="2" t="s">
        <v>662</v>
      </c>
      <c r="C262" s="2" t="s">
        <v>663</v>
      </c>
      <c r="D262" s="2" t="s">
        <v>645</v>
      </c>
      <c r="E262" s="2" t="s">
        <v>10</v>
      </c>
      <c r="F262" s="2" t="s">
        <v>11</v>
      </c>
      <c r="G262" s="2" t="s">
        <v>12</v>
      </c>
    </row>
    <row r="263" customFormat="false" ht="23.85" hidden="false" customHeight="false" outlineLevel="0" collapsed="false">
      <c r="A263" s="2" t="s">
        <v>664</v>
      </c>
      <c r="B263" s="2" t="s">
        <v>665</v>
      </c>
      <c r="C263" s="2" t="s">
        <v>666</v>
      </c>
      <c r="D263" s="2" t="s">
        <v>645</v>
      </c>
      <c r="E263" s="2" t="s">
        <v>10</v>
      </c>
      <c r="F263" s="2" t="s">
        <v>11</v>
      </c>
      <c r="G263" s="2" t="s">
        <v>22</v>
      </c>
    </row>
    <row r="264" customFormat="false" ht="23.85" hidden="false" customHeight="false" outlineLevel="0" collapsed="false">
      <c r="A264" s="2" t="s">
        <v>667</v>
      </c>
      <c r="B264" s="2" t="s">
        <v>668</v>
      </c>
      <c r="C264" s="2" t="s">
        <v>668</v>
      </c>
      <c r="D264" s="2" t="s">
        <v>645</v>
      </c>
      <c r="E264" s="2" t="s">
        <v>10</v>
      </c>
      <c r="F264" s="2" t="s">
        <v>11</v>
      </c>
      <c r="G264" s="2" t="s">
        <v>22</v>
      </c>
    </row>
    <row r="265" customFormat="false" ht="23.85" hidden="false" customHeight="false" outlineLevel="0" collapsed="false">
      <c r="A265" s="2" t="s">
        <v>669</v>
      </c>
      <c r="B265" s="2" t="s">
        <v>670</v>
      </c>
      <c r="C265" s="2" t="s">
        <v>671</v>
      </c>
      <c r="D265" s="2" t="s">
        <v>645</v>
      </c>
      <c r="E265" s="2" t="s">
        <v>10</v>
      </c>
      <c r="F265" s="2" t="s">
        <v>11</v>
      </c>
      <c r="G265" s="2" t="s">
        <v>22</v>
      </c>
    </row>
    <row r="266" customFormat="false" ht="23.85" hidden="false" customHeight="false" outlineLevel="0" collapsed="false">
      <c r="A266" s="2" t="s">
        <v>672</v>
      </c>
      <c r="B266" s="2" t="s">
        <v>673</v>
      </c>
      <c r="C266" s="2" t="s">
        <v>674</v>
      </c>
      <c r="D266" s="2" t="s">
        <v>645</v>
      </c>
      <c r="E266" s="2" t="s">
        <v>30</v>
      </c>
      <c r="F266" s="2" t="s">
        <v>34</v>
      </c>
      <c r="G266" s="2" t="s">
        <v>117</v>
      </c>
    </row>
    <row r="267" customFormat="false" ht="23.85" hidden="false" customHeight="false" outlineLevel="0" collapsed="false">
      <c r="A267" s="2" t="s">
        <v>675</v>
      </c>
      <c r="B267" s="2" t="s">
        <v>676</v>
      </c>
      <c r="C267" s="2" t="s">
        <v>676</v>
      </c>
      <c r="D267" s="2" t="s">
        <v>645</v>
      </c>
      <c r="E267" s="2" t="s">
        <v>30</v>
      </c>
      <c r="F267" s="2" t="s">
        <v>34</v>
      </c>
      <c r="G267" s="2" t="s">
        <v>117</v>
      </c>
    </row>
    <row r="268" customFormat="false" ht="23.85" hidden="false" customHeight="false" outlineLevel="0" collapsed="false">
      <c r="A268" s="2" t="s">
        <v>677</v>
      </c>
      <c r="B268" s="2" t="s">
        <v>678</v>
      </c>
      <c r="C268" s="2" t="s">
        <v>678</v>
      </c>
      <c r="D268" s="2" t="s">
        <v>645</v>
      </c>
      <c r="E268" s="2" t="s">
        <v>58</v>
      </c>
      <c r="F268" s="2" t="s">
        <v>34</v>
      </c>
      <c r="G268" s="2" t="s">
        <v>64</v>
      </c>
    </row>
    <row r="269" customFormat="false" ht="23.85" hidden="false" customHeight="false" outlineLevel="0" collapsed="false">
      <c r="A269" s="2" t="s">
        <v>679</v>
      </c>
      <c r="B269" s="2" t="s">
        <v>680</v>
      </c>
      <c r="C269" s="2" t="s">
        <v>681</v>
      </c>
      <c r="D269" s="2" t="s">
        <v>645</v>
      </c>
      <c r="E269" s="2" t="s">
        <v>10</v>
      </c>
      <c r="F269" s="2" t="s">
        <v>11</v>
      </c>
      <c r="G269" s="2" t="s">
        <v>12</v>
      </c>
    </row>
    <row r="270" customFormat="false" ht="23.85" hidden="false" customHeight="false" outlineLevel="0" collapsed="false">
      <c r="A270" s="2" t="s">
        <v>682</v>
      </c>
      <c r="B270" s="2" t="s">
        <v>683</v>
      </c>
      <c r="C270" s="2" t="s">
        <v>683</v>
      </c>
      <c r="D270" s="2" t="s">
        <v>645</v>
      </c>
      <c r="E270" s="2" t="s">
        <v>10</v>
      </c>
      <c r="F270" s="2" t="s">
        <v>11</v>
      </c>
      <c r="G270" s="2" t="s">
        <v>12</v>
      </c>
    </row>
    <row r="271" customFormat="false" ht="35.05" hidden="false" customHeight="false" outlineLevel="0" collapsed="false">
      <c r="A271" s="2" t="s">
        <v>684</v>
      </c>
      <c r="B271" s="2" t="s">
        <v>685</v>
      </c>
      <c r="C271" s="2" t="s">
        <v>686</v>
      </c>
      <c r="D271" s="2" t="s">
        <v>645</v>
      </c>
      <c r="E271" s="2" t="s">
        <v>10</v>
      </c>
      <c r="F271" s="2" t="s">
        <v>34</v>
      </c>
      <c r="G271" s="2" t="s">
        <v>12</v>
      </c>
    </row>
    <row r="272" customFormat="false" ht="23.85" hidden="false" customHeight="false" outlineLevel="0" collapsed="false">
      <c r="A272" s="2" t="s">
        <v>687</v>
      </c>
      <c r="B272" s="2" t="s">
        <v>688</v>
      </c>
      <c r="C272" s="2" t="s">
        <v>689</v>
      </c>
      <c r="D272" s="2" t="s">
        <v>645</v>
      </c>
      <c r="E272" s="2" t="s">
        <v>10</v>
      </c>
      <c r="F272" s="2" t="s">
        <v>11</v>
      </c>
      <c r="G272" s="2" t="s">
        <v>12</v>
      </c>
    </row>
    <row r="273" customFormat="false" ht="23.85" hidden="false" customHeight="false" outlineLevel="0" collapsed="false">
      <c r="A273" s="2" t="s">
        <v>690</v>
      </c>
      <c r="B273" s="2" t="s">
        <v>691</v>
      </c>
      <c r="C273" s="2" t="s">
        <v>692</v>
      </c>
      <c r="D273" s="2" t="s">
        <v>693</v>
      </c>
      <c r="E273" s="2" t="s">
        <v>10</v>
      </c>
      <c r="F273" s="2" t="s">
        <v>11</v>
      </c>
      <c r="G273" s="2" t="s">
        <v>12</v>
      </c>
    </row>
    <row r="274" customFormat="false" ht="23.85" hidden="false" customHeight="false" outlineLevel="0" collapsed="false">
      <c r="A274" s="2" t="s">
        <v>694</v>
      </c>
      <c r="B274" s="2" t="s">
        <v>695</v>
      </c>
      <c r="C274" s="2" t="s">
        <v>696</v>
      </c>
      <c r="D274" s="2" t="s">
        <v>693</v>
      </c>
      <c r="E274" s="2" t="s">
        <v>10</v>
      </c>
      <c r="F274" s="2" t="s">
        <v>111</v>
      </c>
      <c r="G274" s="2" t="s">
        <v>59</v>
      </c>
    </row>
    <row r="275" customFormat="false" ht="23.85" hidden="false" customHeight="false" outlineLevel="0" collapsed="false">
      <c r="A275" s="2" t="s">
        <v>697</v>
      </c>
      <c r="B275" s="2" t="s">
        <v>698</v>
      </c>
      <c r="C275" s="2" t="s">
        <v>699</v>
      </c>
      <c r="D275" s="2" t="s">
        <v>693</v>
      </c>
      <c r="E275" s="2" t="s">
        <v>10</v>
      </c>
      <c r="F275" s="2" t="s">
        <v>11</v>
      </c>
      <c r="G275" s="2" t="s">
        <v>12</v>
      </c>
    </row>
    <row r="276" customFormat="false" ht="35.05" hidden="false" customHeight="false" outlineLevel="0" collapsed="false">
      <c r="A276" s="2" t="s">
        <v>700</v>
      </c>
      <c r="B276" s="2" t="s">
        <v>701</v>
      </c>
      <c r="C276" s="2" t="s">
        <v>702</v>
      </c>
      <c r="D276" s="2" t="s">
        <v>693</v>
      </c>
      <c r="E276" s="2" t="s">
        <v>10</v>
      </c>
      <c r="F276" s="2" t="s">
        <v>11</v>
      </c>
      <c r="G276" s="2" t="s">
        <v>12</v>
      </c>
    </row>
    <row r="277" customFormat="false" ht="23.85" hidden="false" customHeight="false" outlineLevel="0" collapsed="false">
      <c r="A277" s="2" t="s">
        <v>703</v>
      </c>
      <c r="B277" s="2" t="s">
        <v>704</v>
      </c>
      <c r="C277" s="2" t="s">
        <v>704</v>
      </c>
      <c r="D277" s="2" t="s">
        <v>693</v>
      </c>
      <c r="E277" s="2" t="s">
        <v>10</v>
      </c>
      <c r="F277" s="2" t="s">
        <v>11</v>
      </c>
      <c r="G277" s="2" t="s">
        <v>12</v>
      </c>
    </row>
    <row r="278" customFormat="false" ht="23.85" hidden="false" customHeight="false" outlineLevel="0" collapsed="false">
      <c r="A278" s="2" t="s">
        <v>705</v>
      </c>
      <c r="B278" s="2" t="s">
        <v>706</v>
      </c>
      <c r="C278" s="2" t="s">
        <v>707</v>
      </c>
      <c r="D278" s="2" t="s">
        <v>693</v>
      </c>
      <c r="E278" s="2" t="s">
        <v>10</v>
      </c>
      <c r="F278" s="2" t="s">
        <v>11</v>
      </c>
      <c r="G278" s="2" t="s">
        <v>12</v>
      </c>
    </row>
    <row r="279" customFormat="false" ht="23.85" hidden="false" customHeight="false" outlineLevel="0" collapsed="false">
      <c r="A279" s="2" t="s">
        <v>708</v>
      </c>
      <c r="B279" s="2" t="s">
        <v>709</v>
      </c>
      <c r="C279" s="2" t="s">
        <v>710</v>
      </c>
      <c r="D279" s="2" t="s">
        <v>693</v>
      </c>
      <c r="E279" s="2" t="s">
        <v>10</v>
      </c>
      <c r="F279" s="2" t="s">
        <v>34</v>
      </c>
      <c r="G279" s="2" t="s">
        <v>22</v>
      </c>
    </row>
    <row r="280" customFormat="false" ht="35.05" hidden="false" customHeight="false" outlineLevel="0" collapsed="false">
      <c r="A280" s="2" t="s">
        <v>711</v>
      </c>
      <c r="B280" s="2" t="s">
        <v>712</v>
      </c>
      <c r="C280" s="2" t="s">
        <v>713</v>
      </c>
      <c r="D280" s="2" t="s">
        <v>693</v>
      </c>
      <c r="E280" s="2" t="s">
        <v>10</v>
      </c>
      <c r="F280" s="2" t="s">
        <v>34</v>
      </c>
      <c r="G280" s="2" t="s">
        <v>22</v>
      </c>
    </row>
    <row r="281" customFormat="false" ht="23.85" hidden="false" customHeight="false" outlineLevel="0" collapsed="false">
      <c r="A281" s="2" t="s">
        <v>714</v>
      </c>
      <c r="B281" s="2" t="s">
        <v>715</v>
      </c>
      <c r="C281" s="2" t="s">
        <v>715</v>
      </c>
      <c r="D281" s="2" t="s">
        <v>693</v>
      </c>
      <c r="E281" s="2" t="s">
        <v>30</v>
      </c>
      <c r="F281" s="2" t="s">
        <v>111</v>
      </c>
      <c r="G281" s="2" t="s">
        <v>59</v>
      </c>
    </row>
    <row r="282" customFormat="false" ht="23.85" hidden="false" customHeight="false" outlineLevel="0" collapsed="false">
      <c r="A282" s="2" t="s">
        <v>716</v>
      </c>
      <c r="B282" s="2" t="s">
        <v>717</v>
      </c>
      <c r="C282" s="2" t="s">
        <v>718</v>
      </c>
      <c r="D282" s="2" t="s">
        <v>693</v>
      </c>
      <c r="E282" s="2" t="s">
        <v>73</v>
      </c>
      <c r="F282" s="2" t="s">
        <v>34</v>
      </c>
      <c r="G282" s="2" t="s">
        <v>22</v>
      </c>
    </row>
    <row r="283" customFormat="false" ht="23.85" hidden="false" customHeight="false" outlineLevel="0" collapsed="false">
      <c r="A283" s="2" t="s">
        <v>719</v>
      </c>
      <c r="B283" s="2" t="s">
        <v>720</v>
      </c>
      <c r="C283" s="2" t="s">
        <v>721</v>
      </c>
      <c r="D283" s="2" t="s">
        <v>693</v>
      </c>
      <c r="E283" s="2" t="s">
        <v>10</v>
      </c>
      <c r="F283" s="2" t="s">
        <v>34</v>
      </c>
      <c r="G283" s="2" t="s">
        <v>22</v>
      </c>
    </row>
    <row r="284" customFormat="false" ht="23.85" hidden="false" customHeight="false" outlineLevel="0" collapsed="false">
      <c r="A284" s="2" t="s">
        <v>722</v>
      </c>
      <c r="B284" s="2" t="s">
        <v>723</v>
      </c>
      <c r="C284" s="2" t="s">
        <v>724</v>
      </c>
      <c r="D284" s="2" t="s">
        <v>693</v>
      </c>
      <c r="E284" s="2" t="s">
        <v>439</v>
      </c>
      <c r="F284" s="2" t="s">
        <v>11</v>
      </c>
      <c r="G284" s="2" t="s">
        <v>12</v>
      </c>
    </row>
    <row r="285" customFormat="false" ht="23.85" hidden="false" customHeight="false" outlineLevel="0" collapsed="false">
      <c r="A285" s="2" t="s">
        <v>725</v>
      </c>
      <c r="B285" s="2" t="s">
        <v>726</v>
      </c>
      <c r="C285" s="2" t="s">
        <v>726</v>
      </c>
      <c r="D285" s="2" t="s">
        <v>693</v>
      </c>
      <c r="E285" s="2" t="s">
        <v>10</v>
      </c>
      <c r="F285" s="2" t="s">
        <v>11</v>
      </c>
      <c r="G285" s="2" t="s">
        <v>12</v>
      </c>
    </row>
    <row r="286" customFormat="false" ht="23.85" hidden="false" customHeight="false" outlineLevel="0" collapsed="false">
      <c r="A286" s="2" t="s">
        <v>727</v>
      </c>
      <c r="B286" s="2" t="s">
        <v>728</v>
      </c>
      <c r="C286" s="2" t="s">
        <v>728</v>
      </c>
      <c r="D286" s="2" t="s">
        <v>693</v>
      </c>
      <c r="E286" s="2" t="s">
        <v>10</v>
      </c>
      <c r="F286" s="2" t="s">
        <v>34</v>
      </c>
      <c r="G286" s="2" t="s">
        <v>22</v>
      </c>
    </row>
    <row r="287" customFormat="false" ht="23.85" hidden="false" customHeight="false" outlineLevel="0" collapsed="false">
      <c r="A287" s="2" t="s">
        <v>729</v>
      </c>
      <c r="B287" s="2" t="s">
        <v>730</v>
      </c>
      <c r="C287" s="2" t="s">
        <v>730</v>
      </c>
      <c r="D287" s="2" t="s">
        <v>731</v>
      </c>
      <c r="E287" s="2" t="s">
        <v>10</v>
      </c>
      <c r="F287" s="2" t="s">
        <v>11</v>
      </c>
      <c r="G287" s="2" t="s">
        <v>12</v>
      </c>
    </row>
    <row r="288" customFormat="false" ht="23.85" hidden="false" customHeight="false" outlineLevel="0" collapsed="false">
      <c r="A288" s="2" t="s">
        <v>732</v>
      </c>
      <c r="B288" s="2" t="s">
        <v>733</v>
      </c>
      <c r="C288" s="2" t="s">
        <v>734</v>
      </c>
      <c r="D288" s="2" t="s">
        <v>731</v>
      </c>
      <c r="E288" s="2" t="s">
        <v>63</v>
      </c>
      <c r="F288" s="2" t="s">
        <v>11</v>
      </c>
      <c r="G288" s="2" t="s">
        <v>12</v>
      </c>
    </row>
    <row r="289" customFormat="false" ht="23.85" hidden="false" customHeight="false" outlineLevel="0" collapsed="false">
      <c r="A289" s="2" t="s">
        <v>735</v>
      </c>
      <c r="B289" s="2" t="s">
        <v>736</v>
      </c>
      <c r="C289" s="2" t="s">
        <v>736</v>
      </c>
      <c r="D289" s="2" t="s">
        <v>731</v>
      </c>
      <c r="E289" s="2" t="s">
        <v>10</v>
      </c>
      <c r="F289" s="2" t="s">
        <v>11</v>
      </c>
      <c r="G289" s="2" t="s">
        <v>12</v>
      </c>
    </row>
    <row r="290" customFormat="false" ht="23.85" hidden="false" customHeight="false" outlineLevel="0" collapsed="false">
      <c r="A290" s="2" t="s">
        <v>737</v>
      </c>
      <c r="B290" s="2" t="s">
        <v>738</v>
      </c>
      <c r="C290" s="2" t="s">
        <v>739</v>
      </c>
      <c r="D290" s="2" t="s">
        <v>731</v>
      </c>
      <c r="E290" s="2" t="s">
        <v>10</v>
      </c>
      <c r="F290" s="2" t="s">
        <v>11</v>
      </c>
      <c r="G290" s="2" t="s">
        <v>12</v>
      </c>
    </row>
    <row r="291" customFormat="false" ht="23.85" hidden="false" customHeight="false" outlineLevel="0" collapsed="false">
      <c r="A291" s="2" t="s">
        <v>740</v>
      </c>
      <c r="B291" s="2" t="s">
        <v>741</v>
      </c>
      <c r="C291" s="2" t="s">
        <v>741</v>
      </c>
      <c r="D291" s="2" t="s">
        <v>731</v>
      </c>
      <c r="E291" s="2" t="s">
        <v>30</v>
      </c>
      <c r="F291" s="2" t="s">
        <v>11</v>
      </c>
      <c r="G291" s="2" t="s">
        <v>64</v>
      </c>
    </row>
    <row r="292" customFormat="false" ht="23.85" hidden="false" customHeight="false" outlineLevel="0" collapsed="false">
      <c r="A292" s="2" t="s">
        <v>742</v>
      </c>
      <c r="B292" s="2" t="s">
        <v>743</v>
      </c>
      <c r="C292" s="2" t="s">
        <v>744</v>
      </c>
      <c r="D292" s="2" t="s">
        <v>731</v>
      </c>
      <c r="E292" s="2" t="s">
        <v>10</v>
      </c>
      <c r="F292" s="2" t="s">
        <v>11</v>
      </c>
      <c r="G292" s="2" t="s">
        <v>12</v>
      </c>
    </row>
    <row r="293" customFormat="false" ht="23.85" hidden="false" customHeight="false" outlineLevel="0" collapsed="false">
      <c r="A293" s="2" t="s">
        <v>745</v>
      </c>
      <c r="B293" s="2" t="s">
        <v>746</v>
      </c>
      <c r="C293" s="2" t="s">
        <v>747</v>
      </c>
      <c r="D293" s="2" t="s">
        <v>731</v>
      </c>
      <c r="E293" s="2" t="s">
        <v>439</v>
      </c>
      <c r="F293" s="2" t="s">
        <v>11</v>
      </c>
      <c r="G293" s="2" t="s">
        <v>12</v>
      </c>
    </row>
    <row r="294" customFormat="false" ht="23.85" hidden="false" customHeight="false" outlineLevel="0" collapsed="false">
      <c r="A294" s="2" t="s">
        <v>748</v>
      </c>
      <c r="B294" s="2" t="s">
        <v>749</v>
      </c>
      <c r="C294" s="2" t="s">
        <v>750</v>
      </c>
      <c r="D294" s="2" t="s">
        <v>731</v>
      </c>
      <c r="E294" s="2" t="s">
        <v>439</v>
      </c>
      <c r="F294" s="2" t="s">
        <v>11</v>
      </c>
      <c r="G294" s="2" t="s">
        <v>12</v>
      </c>
    </row>
    <row r="295" customFormat="false" ht="23.85" hidden="false" customHeight="false" outlineLevel="0" collapsed="false">
      <c r="A295" s="2" t="s">
        <v>751</v>
      </c>
      <c r="B295" s="2" t="s">
        <v>752</v>
      </c>
      <c r="C295" s="2" t="s">
        <v>753</v>
      </c>
      <c r="D295" s="2" t="s">
        <v>731</v>
      </c>
      <c r="E295" s="2" t="s">
        <v>439</v>
      </c>
      <c r="F295" s="2" t="s">
        <v>11</v>
      </c>
      <c r="G295" s="2" t="s">
        <v>12</v>
      </c>
    </row>
    <row r="296" customFormat="false" ht="23.85" hidden="false" customHeight="false" outlineLevel="0" collapsed="false">
      <c r="A296" s="2" t="s">
        <v>754</v>
      </c>
      <c r="B296" s="2" t="s">
        <v>755</v>
      </c>
      <c r="C296" s="2" t="s">
        <v>755</v>
      </c>
      <c r="D296" s="2" t="s">
        <v>731</v>
      </c>
      <c r="E296" s="2" t="s">
        <v>439</v>
      </c>
      <c r="F296" s="2" t="s">
        <v>11</v>
      </c>
      <c r="G296" s="2" t="s">
        <v>12</v>
      </c>
    </row>
    <row r="297" customFormat="false" ht="23.85" hidden="false" customHeight="false" outlineLevel="0" collapsed="false">
      <c r="A297" s="2" t="s">
        <v>756</v>
      </c>
      <c r="B297" s="2" t="s">
        <v>757</v>
      </c>
      <c r="C297" s="2" t="s">
        <v>757</v>
      </c>
      <c r="D297" s="2" t="s">
        <v>731</v>
      </c>
      <c r="E297" s="2" t="s">
        <v>63</v>
      </c>
      <c r="F297" s="2" t="s">
        <v>11</v>
      </c>
      <c r="G297" s="2" t="s">
        <v>64</v>
      </c>
    </row>
    <row r="298" customFormat="false" ht="23.85" hidden="false" customHeight="false" outlineLevel="0" collapsed="false">
      <c r="A298" s="2" t="s">
        <v>758</v>
      </c>
      <c r="B298" s="2" t="s">
        <v>759</v>
      </c>
      <c r="C298" s="2" t="s">
        <v>760</v>
      </c>
      <c r="D298" s="2" t="s">
        <v>731</v>
      </c>
      <c r="E298" s="2" t="s">
        <v>10</v>
      </c>
      <c r="F298" s="2" t="s">
        <v>11</v>
      </c>
      <c r="G298" s="2" t="s">
        <v>12</v>
      </c>
    </row>
    <row r="299" customFormat="false" ht="23.85" hidden="false" customHeight="false" outlineLevel="0" collapsed="false">
      <c r="A299" s="2" t="s">
        <v>761</v>
      </c>
      <c r="B299" s="2" t="s">
        <v>762</v>
      </c>
      <c r="C299" s="2" t="s">
        <v>763</v>
      </c>
      <c r="D299" s="2" t="s">
        <v>731</v>
      </c>
      <c r="E299" s="2" t="s">
        <v>10</v>
      </c>
      <c r="F299" s="2" t="s">
        <v>34</v>
      </c>
      <c r="G299" s="2" t="s">
        <v>12</v>
      </c>
    </row>
    <row r="300" customFormat="false" ht="23.85" hidden="false" customHeight="false" outlineLevel="0" collapsed="false">
      <c r="A300" s="2" t="s">
        <v>764</v>
      </c>
      <c r="B300" s="2" t="s">
        <v>765</v>
      </c>
      <c r="C300" s="2" t="s">
        <v>765</v>
      </c>
      <c r="D300" s="2" t="s">
        <v>731</v>
      </c>
      <c r="E300" s="2" t="s">
        <v>439</v>
      </c>
      <c r="F300" s="2" t="s">
        <v>34</v>
      </c>
      <c r="G300" s="2" t="s">
        <v>64</v>
      </c>
    </row>
    <row r="301" customFormat="false" ht="23.85" hidden="false" customHeight="false" outlineLevel="0" collapsed="false">
      <c r="A301" s="2" t="s">
        <v>766</v>
      </c>
      <c r="B301" s="2" t="s">
        <v>767</v>
      </c>
      <c r="C301" s="2" t="s">
        <v>768</v>
      </c>
      <c r="D301" s="2" t="s">
        <v>731</v>
      </c>
      <c r="E301" s="2" t="s">
        <v>58</v>
      </c>
      <c r="F301" s="2" t="s">
        <v>34</v>
      </c>
      <c r="G301" s="2" t="s">
        <v>64</v>
      </c>
    </row>
    <row r="302" customFormat="false" ht="23.85" hidden="false" customHeight="false" outlineLevel="0" collapsed="false">
      <c r="A302" s="2" t="s">
        <v>769</v>
      </c>
      <c r="B302" s="2" t="s">
        <v>770</v>
      </c>
      <c r="C302" s="2" t="s">
        <v>770</v>
      </c>
      <c r="D302" s="2" t="s">
        <v>731</v>
      </c>
      <c r="E302" s="2" t="s">
        <v>439</v>
      </c>
      <c r="F302" s="2" t="s">
        <v>111</v>
      </c>
      <c r="G302" s="2" t="s">
        <v>59</v>
      </c>
    </row>
    <row r="303" customFormat="false" ht="23.85" hidden="false" customHeight="false" outlineLevel="0" collapsed="false">
      <c r="A303" s="2" t="s">
        <v>771</v>
      </c>
      <c r="B303" s="2" t="s">
        <v>772</v>
      </c>
      <c r="C303" s="2" t="s">
        <v>772</v>
      </c>
      <c r="D303" s="2" t="s">
        <v>731</v>
      </c>
      <c r="E303" s="2" t="s">
        <v>58</v>
      </c>
      <c r="F303" s="2" t="s">
        <v>34</v>
      </c>
      <c r="G303" s="2" t="s">
        <v>12</v>
      </c>
    </row>
    <row r="304" customFormat="false" ht="23.85" hidden="false" customHeight="false" outlineLevel="0" collapsed="false">
      <c r="A304" s="2" t="s">
        <v>773</v>
      </c>
      <c r="B304" s="2" t="s">
        <v>774</v>
      </c>
      <c r="C304" s="2" t="s">
        <v>774</v>
      </c>
      <c r="D304" s="2" t="s">
        <v>775</v>
      </c>
      <c r="E304" s="2" t="s">
        <v>10</v>
      </c>
      <c r="F304" s="2" t="s">
        <v>11</v>
      </c>
      <c r="G304" s="2" t="s">
        <v>12</v>
      </c>
    </row>
    <row r="305" customFormat="false" ht="23.85" hidden="false" customHeight="false" outlineLevel="0" collapsed="false">
      <c r="A305" s="2" t="s">
        <v>776</v>
      </c>
      <c r="B305" s="2" t="s">
        <v>777</v>
      </c>
      <c r="C305" s="2" t="s">
        <v>777</v>
      </c>
      <c r="D305" s="2" t="s">
        <v>775</v>
      </c>
      <c r="E305" s="2" t="s">
        <v>10</v>
      </c>
      <c r="F305" s="2" t="s">
        <v>11</v>
      </c>
      <c r="G305" s="2" t="s">
        <v>12</v>
      </c>
    </row>
    <row r="306" customFormat="false" ht="23.85" hidden="false" customHeight="false" outlineLevel="0" collapsed="false">
      <c r="A306" s="2" t="s">
        <v>778</v>
      </c>
      <c r="B306" s="2" t="s">
        <v>779</v>
      </c>
      <c r="C306" s="2" t="s">
        <v>779</v>
      </c>
      <c r="D306" s="2" t="s">
        <v>775</v>
      </c>
      <c r="E306" s="2" t="s">
        <v>439</v>
      </c>
      <c r="F306" s="2" t="s">
        <v>11</v>
      </c>
      <c r="G306" s="2" t="s">
        <v>12</v>
      </c>
    </row>
    <row r="307" customFormat="false" ht="23.85" hidden="false" customHeight="false" outlineLevel="0" collapsed="false">
      <c r="A307" s="2" t="s">
        <v>780</v>
      </c>
      <c r="B307" s="2" t="s">
        <v>781</v>
      </c>
      <c r="C307" s="2" t="s">
        <v>781</v>
      </c>
      <c r="D307" s="2" t="s">
        <v>775</v>
      </c>
      <c r="E307" s="2" t="s">
        <v>439</v>
      </c>
      <c r="F307" s="2" t="s">
        <v>34</v>
      </c>
      <c r="G307" s="2" t="s">
        <v>12</v>
      </c>
    </row>
    <row r="308" customFormat="false" ht="23.85" hidden="false" customHeight="false" outlineLevel="0" collapsed="false">
      <c r="A308" s="2" t="s">
        <v>782</v>
      </c>
      <c r="B308" s="2" t="s">
        <v>783</v>
      </c>
      <c r="C308" s="2" t="s">
        <v>783</v>
      </c>
      <c r="D308" s="2" t="s">
        <v>775</v>
      </c>
      <c r="E308" s="2" t="s">
        <v>10</v>
      </c>
      <c r="F308" s="2" t="s">
        <v>11</v>
      </c>
      <c r="G308" s="2" t="s">
        <v>12</v>
      </c>
    </row>
    <row r="309" customFormat="false" ht="23.85" hidden="false" customHeight="false" outlineLevel="0" collapsed="false">
      <c r="A309" s="2" t="s">
        <v>784</v>
      </c>
      <c r="B309" s="2" t="s">
        <v>785</v>
      </c>
      <c r="C309" s="2" t="s">
        <v>785</v>
      </c>
      <c r="D309" s="2" t="s">
        <v>775</v>
      </c>
      <c r="E309" s="2" t="s">
        <v>10</v>
      </c>
      <c r="F309" s="2" t="s">
        <v>11</v>
      </c>
      <c r="G309" s="2" t="s">
        <v>12</v>
      </c>
    </row>
    <row r="310" customFormat="false" ht="23.85" hidden="false" customHeight="false" outlineLevel="0" collapsed="false">
      <c r="A310" s="2" t="s">
        <v>786</v>
      </c>
      <c r="B310" s="2" t="s">
        <v>787</v>
      </c>
      <c r="C310" s="2" t="s">
        <v>787</v>
      </c>
      <c r="D310" s="2" t="s">
        <v>775</v>
      </c>
      <c r="E310" s="2" t="s">
        <v>10</v>
      </c>
      <c r="F310" s="2" t="s">
        <v>11</v>
      </c>
      <c r="G310" s="2" t="s">
        <v>12</v>
      </c>
    </row>
    <row r="311" customFormat="false" ht="23.85" hidden="false" customHeight="false" outlineLevel="0" collapsed="false">
      <c r="A311" s="2" t="s">
        <v>788</v>
      </c>
      <c r="B311" s="2" t="s">
        <v>789</v>
      </c>
      <c r="C311" s="2" t="s">
        <v>789</v>
      </c>
      <c r="D311" s="2" t="s">
        <v>775</v>
      </c>
      <c r="E311" s="2" t="s">
        <v>10</v>
      </c>
      <c r="F311" s="2" t="s">
        <v>34</v>
      </c>
      <c r="G311" s="2" t="s">
        <v>12</v>
      </c>
    </row>
    <row r="312" customFormat="false" ht="23.85" hidden="false" customHeight="false" outlineLevel="0" collapsed="false">
      <c r="A312" s="2" t="s">
        <v>790</v>
      </c>
      <c r="B312" s="2" t="s">
        <v>791</v>
      </c>
      <c r="C312" s="2" t="s">
        <v>791</v>
      </c>
      <c r="D312" s="2" t="s">
        <v>775</v>
      </c>
      <c r="E312" s="2" t="s">
        <v>10</v>
      </c>
      <c r="F312" s="2" t="s">
        <v>34</v>
      </c>
      <c r="G312" s="2" t="s">
        <v>12</v>
      </c>
    </row>
    <row r="313" customFormat="false" ht="23.85" hidden="false" customHeight="false" outlineLevel="0" collapsed="false">
      <c r="A313" s="2" t="s">
        <v>792</v>
      </c>
      <c r="B313" s="2" t="s">
        <v>793</v>
      </c>
      <c r="C313" s="2" t="s">
        <v>794</v>
      </c>
      <c r="D313" s="2" t="s">
        <v>795</v>
      </c>
      <c r="E313" s="2" t="s">
        <v>10</v>
      </c>
      <c r="F313" s="2" t="s">
        <v>11</v>
      </c>
      <c r="G313" s="2" t="s">
        <v>12</v>
      </c>
    </row>
    <row r="314" customFormat="false" ht="23.85" hidden="false" customHeight="false" outlineLevel="0" collapsed="false">
      <c r="A314" s="2" t="s">
        <v>796</v>
      </c>
      <c r="B314" s="2" t="s">
        <v>797</v>
      </c>
      <c r="C314" s="2" t="s">
        <v>797</v>
      </c>
      <c r="D314" s="2" t="s">
        <v>795</v>
      </c>
      <c r="E314" s="2" t="s">
        <v>439</v>
      </c>
      <c r="F314" s="2" t="s">
        <v>11</v>
      </c>
      <c r="G314" s="2" t="s">
        <v>12</v>
      </c>
    </row>
    <row r="315" customFormat="false" ht="23.85" hidden="false" customHeight="false" outlineLevel="0" collapsed="false">
      <c r="A315" s="2" t="s">
        <v>798</v>
      </c>
      <c r="B315" s="2" t="s">
        <v>799</v>
      </c>
      <c r="C315" s="2" t="s">
        <v>799</v>
      </c>
      <c r="D315" s="2" t="s">
        <v>795</v>
      </c>
      <c r="E315" s="2" t="s">
        <v>10</v>
      </c>
      <c r="F315" s="2" t="s">
        <v>11</v>
      </c>
      <c r="G315" s="2" t="s">
        <v>12</v>
      </c>
    </row>
    <row r="316" customFormat="false" ht="23.85" hidden="false" customHeight="false" outlineLevel="0" collapsed="false">
      <c r="A316" s="2" t="s">
        <v>800</v>
      </c>
      <c r="B316" s="2" t="s">
        <v>801</v>
      </c>
      <c r="C316" s="2" t="s">
        <v>801</v>
      </c>
      <c r="D316" s="2" t="s">
        <v>795</v>
      </c>
      <c r="E316" s="2" t="s">
        <v>10</v>
      </c>
      <c r="F316" s="2" t="s">
        <v>11</v>
      </c>
      <c r="G316" s="2" t="s">
        <v>12</v>
      </c>
    </row>
    <row r="317" customFormat="false" ht="23.85" hidden="false" customHeight="false" outlineLevel="0" collapsed="false">
      <c r="A317" s="2" t="s">
        <v>802</v>
      </c>
      <c r="B317" s="2" t="s">
        <v>803</v>
      </c>
      <c r="C317" s="2" t="s">
        <v>803</v>
      </c>
      <c r="D317" s="2" t="s">
        <v>795</v>
      </c>
      <c r="E317" s="2" t="s">
        <v>73</v>
      </c>
      <c r="F317" s="2" t="s">
        <v>11</v>
      </c>
      <c r="G317" s="2" t="s">
        <v>64</v>
      </c>
    </row>
    <row r="318" customFormat="false" ht="23.85" hidden="false" customHeight="false" outlineLevel="0" collapsed="false">
      <c r="A318" s="2" t="s">
        <v>804</v>
      </c>
      <c r="B318" s="2" t="s">
        <v>805</v>
      </c>
      <c r="C318" s="2" t="s">
        <v>806</v>
      </c>
      <c r="D318" s="2" t="s">
        <v>795</v>
      </c>
      <c r="E318" s="2" t="s">
        <v>63</v>
      </c>
      <c r="F318" s="2" t="s">
        <v>11</v>
      </c>
      <c r="G318" s="2" t="s">
        <v>64</v>
      </c>
    </row>
    <row r="319" customFormat="false" ht="23.85" hidden="false" customHeight="false" outlineLevel="0" collapsed="false">
      <c r="A319" s="2" t="s">
        <v>807</v>
      </c>
      <c r="B319" s="2" t="s">
        <v>808</v>
      </c>
      <c r="C319" s="2" t="s">
        <v>809</v>
      </c>
      <c r="D319" s="2" t="s">
        <v>795</v>
      </c>
      <c r="E319" s="2" t="s">
        <v>58</v>
      </c>
      <c r="F319" s="2" t="s">
        <v>34</v>
      </c>
      <c r="G319" s="2" t="s">
        <v>12</v>
      </c>
    </row>
    <row r="320" customFormat="false" ht="23.85" hidden="false" customHeight="false" outlineLevel="0" collapsed="false">
      <c r="A320" s="2" t="s">
        <v>810</v>
      </c>
      <c r="B320" s="2" t="s">
        <v>811</v>
      </c>
      <c r="C320" s="2" t="s">
        <v>811</v>
      </c>
      <c r="D320" s="2" t="s">
        <v>795</v>
      </c>
      <c r="E320" s="2" t="s">
        <v>58</v>
      </c>
      <c r="F320" s="2" t="s">
        <v>34</v>
      </c>
      <c r="G320" s="2" t="s">
        <v>64</v>
      </c>
    </row>
    <row r="321" customFormat="false" ht="23.85" hidden="false" customHeight="false" outlineLevel="0" collapsed="false">
      <c r="A321" s="2" t="s">
        <v>812</v>
      </c>
      <c r="B321" s="2" t="s">
        <v>813</v>
      </c>
      <c r="C321" s="2" t="s">
        <v>814</v>
      </c>
      <c r="D321" s="2" t="s">
        <v>795</v>
      </c>
      <c r="E321" s="2" t="s">
        <v>439</v>
      </c>
      <c r="F321" s="2" t="s">
        <v>11</v>
      </c>
      <c r="G321" s="2" t="s">
        <v>12</v>
      </c>
    </row>
    <row r="322" customFormat="false" ht="35.05" hidden="false" customHeight="false" outlineLevel="0" collapsed="false">
      <c r="A322" s="2" t="s">
        <v>815</v>
      </c>
      <c r="B322" s="2" t="s">
        <v>816</v>
      </c>
      <c r="C322" s="2" t="s">
        <v>816</v>
      </c>
      <c r="D322" s="2" t="s">
        <v>795</v>
      </c>
      <c r="E322" s="2" t="s">
        <v>30</v>
      </c>
      <c r="F322" s="2" t="s">
        <v>11</v>
      </c>
      <c r="G322" s="2" t="s">
        <v>22</v>
      </c>
    </row>
    <row r="323" customFormat="false" ht="23.85" hidden="false" customHeight="false" outlineLevel="0" collapsed="false">
      <c r="A323" s="2" t="s">
        <v>817</v>
      </c>
      <c r="B323" s="2" t="s">
        <v>818</v>
      </c>
      <c r="C323" s="2" t="s">
        <v>818</v>
      </c>
      <c r="D323" s="2" t="s">
        <v>795</v>
      </c>
      <c r="E323" s="2" t="s">
        <v>439</v>
      </c>
      <c r="F323" s="2" t="s">
        <v>11</v>
      </c>
      <c r="G323" s="2" t="s">
        <v>12</v>
      </c>
    </row>
    <row r="324" customFormat="false" ht="23.85" hidden="false" customHeight="false" outlineLevel="0" collapsed="false">
      <c r="A324" s="2" t="s">
        <v>819</v>
      </c>
      <c r="B324" s="2" t="s">
        <v>820</v>
      </c>
      <c r="C324" s="2" t="s">
        <v>821</v>
      </c>
      <c r="D324" s="2" t="s">
        <v>795</v>
      </c>
      <c r="E324" s="2" t="s">
        <v>10</v>
      </c>
      <c r="F324" s="2" t="s">
        <v>11</v>
      </c>
      <c r="G324" s="2" t="s">
        <v>12</v>
      </c>
    </row>
    <row r="325" customFormat="false" ht="23.85" hidden="false" customHeight="false" outlineLevel="0" collapsed="false">
      <c r="A325" s="2" t="s">
        <v>822</v>
      </c>
      <c r="B325" s="2" t="s">
        <v>823</v>
      </c>
      <c r="C325" s="2" t="s">
        <v>824</v>
      </c>
      <c r="D325" s="2" t="s">
        <v>795</v>
      </c>
      <c r="E325" s="2" t="s">
        <v>439</v>
      </c>
      <c r="F325" s="2" t="s">
        <v>34</v>
      </c>
      <c r="G325" s="2" t="s">
        <v>22</v>
      </c>
    </row>
    <row r="326" customFormat="false" ht="23.85" hidden="false" customHeight="false" outlineLevel="0" collapsed="false">
      <c r="A326" s="2" t="s">
        <v>825</v>
      </c>
      <c r="B326" s="2" t="s">
        <v>826</v>
      </c>
      <c r="C326" s="2" t="s">
        <v>826</v>
      </c>
      <c r="D326" s="2" t="s">
        <v>795</v>
      </c>
      <c r="E326" s="2" t="s">
        <v>73</v>
      </c>
      <c r="F326" s="2" t="s">
        <v>34</v>
      </c>
      <c r="G326" s="2" t="s">
        <v>64</v>
      </c>
    </row>
    <row r="327" customFormat="false" ht="23.85" hidden="false" customHeight="false" outlineLevel="0" collapsed="false">
      <c r="A327" s="2" t="s">
        <v>827</v>
      </c>
      <c r="B327" s="2" t="s">
        <v>828</v>
      </c>
      <c r="C327" s="2" t="s">
        <v>829</v>
      </c>
      <c r="D327" s="2" t="s">
        <v>795</v>
      </c>
      <c r="E327" s="2" t="s">
        <v>10</v>
      </c>
      <c r="F327" s="2" t="s">
        <v>11</v>
      </c>
      <c r="G327" s="2" t="s">
        <v>12</v>
      </c>
    </row>
    <row r="328" customFormat="false" ht="23.85" hidden="false" customHeight="false" outlineLevel="0" collapsed="false">
      <c r="A328" s="2" t="s">
        <v>830</v>
      </c>
      <c r="B328" s="2" t="s">
        <v>831</v>
      </c>
      <c r="C328" s="2" t="s">
        <v>831</v>
      </c>
      <c r="D328" s="2" t="s">
        <v>795</v>
      </c>
      <c r="E328" s="2" t="s">
        <v>58</v>
      </c>
      <c r="F328" s="2" t="s">
        <v>34</v>
      </c>
      <c r="G328" s="2" t="s">
        <v>22</v>
      </c>
    </row>
    <row r="329" customFormat="false" ht="23.85" hidden="false" customHeight="false" outlineLevel="0" collapsed="false">
      <c r="A329" s="2" t="s">
        <v>832</v>
      </c>
      <c r="B329" s="2" t="s">
        <v>833</v>
      </c>
      <c r="C329" s="2" t="s">
        <v>833</v>
      </c>
      <c r="D329" s="2" t="s">
        <v>795</v>
      </c>
      <c r="E329" s="2" t="s">
        <v>439</v>
      </c>
      <c r="F329" s="2" t="s">
        <v>11</v>
      </c>
      <c r="G329" s="2" t="s">
        <v>12</v>
      </c>
    </row>
    <row r="330" customFormat="false" ht="23.85" hidden="false" customHeight="false" outlineLevel="0" collapsed="false">
      <c r="A330" s="2" t="s">
        <v>834</v>
      </c>
      <c r="B330" s="2" t="s">
        <v>835</v>
      </c>
      <c r="C330" s="2" t="s">
        <v>835</v>
      </c>
      <c r="D330" s="2" t="s">
        <v>795</v>
      </c>
      <c r="E330" s="2" t="s">
        <v>439</v>
      </c>
      <c r="F330" s="2" t="s">
        <v>11</v>
      </c>
      <c r="G330" s="2" t="s">
        <v>12</v>
      </c>
    </row>
    <row r="331" customFormat="false" ht="23.85" hidden="false" customHeight="false" outlineLevel="0" collapsed="false">
      <c r="A331" s="2" t="s">
        <v>836</v>
      </c>
      <c r="B331" s="2" t="s">
        <v>837</v>
      </c>
      <c r="C331" s="2" t="s">
        <v>837</v>
      </c>
      <c r="D331" s="2" t="s">
        <v>795</v>
      </c>
      <c r="E331" s="2" t="s">
        <v>439</v>
      </c>
      <c r="F331" s="2" t="s">
        <v>111</v>
      </c>
      <c r="G331" s="2" t="s">
        <v>59</v>
      </c>
    </row>
    <row r="332" customFormat="false" ht="23.85" hidden="false" customHeight="false" outlineLevel="0" collapsed="false">
      <c r="A332" s="2" t="s">
        <v>838</v>
      </c>
      <c r="B332" s="2" t="s">
        <v>839</v>
      </c>
      <c r="C332" s="2" t="s">
        <v>839</v>
      </c>
      <c r="D332" s="2" t="s">
        <v>840</v>
      </c>
      <c r="E332" s="2" t="s">
        <v>439</v>
      </c>
      <c r="F332" s="2" t="s">
        <v>11</v>
      </c>
      <c r="G332" s="2" t="s">
        <v>12</v>
      </c>
    </row>
    <row r="333" customFormat="false" ht="15" hidden="false" customHeight="false" outlineLevel="0" collapsed="false">
      <c r="A333" s="2" t="s">
        <v>841</v>
      </c>
      <c r="B333" s="2" t="s">
        <v>842</v>
      </c>
      <c r="C333" s="2" t="s">
        <v>842</v>
      </c>
      <c r="D333" s="2" t="s">
        <v>840</v>
      </c>
      <c r="E333" s="2" t="s">
        <v>439</v>
      </c>
      <c r="F333" s="2" t="s">
        <v>34</v>
      </c>
      <c r="G333" s="2" t="s">
        <v>64</v>
      </c>
    </row>
    <row r="334" customFormat="false" ht="23.85" hidden="false" customHeight="false" outlineLevel="0" collapsed="false">
      <c r="A334" s="2" t="s">
        <v>843</v>
      </c>
      <c r="B334" s="2" t="s">
        <v>844</v>
      </c>
      <c r="C334" s="2" t="s">
        <v>844</v>
      </c>
      <c r="D334" s="2" t="s">
        <v>840</v>
      </c>
      <c r="E334" s="2" t="s">
        <v>439</v>
      </c>
      <c r="F334" s="2" t="s">
        <v>34</v>
      </c>
      <c r="G334" s="2" t="s">
        <v>64</v>
      </c>
    </row>
  </sheetData>
  <autoFilter ref="A1:G3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5" min="2" style="0" width="10"/>
  </cols>
  <sheetData>
    <row r="1" customFormat="false" ht="15" hidden="false" customHeight="false" outlineLevel="0" collapsed="false">
      <c r="A1" s="3" t="s">
        <v>845</v>
      </c>
    </row>
    <row r="3" customFormat="false" ht="15" hidden="false" customHeight="false" outlineLevel="0" collapsed="false">
      <c r="A3" s="4" t="s">
        <v>3</v>
      </c>
      <c r="B3" s="4" t="s">
        <v>11</v>
      </c>
      <c r="C3" s="4" t="s">
        <v>34</v>
      </c>
      <c r="D3" s="4" t="s">
        <v>111</v>
      </c>
      <c r="E3" s="4" t="s">
        <v>846</v>
      </c>
    </row>
    <row r="4" customFormat="false" ht="15" hidden="false" customHeight="false" outlineLevel="0" collapsed="false">
      <c r="A4" s="5" t="s">
        <v>9</v>
      </c>
      <c r="B4" s="5" t="n">
        <f aca="false">COUNTIFS(Matrix!$D$2:$D$334,$A4,Matrix!$F$2:$F$334,B$3)</f>
        <v>8</v>
      </c>
      <c r="C4" s="5" t="n">
        <f aca="false">COUNTIFS(Matrix!$D$2:$D$334,$A4,Matrix!$F$2:$F$334,C$3)</f>
        <v>9</v>
      </c>
      <c r="D4" s="5" t="n">
        <f aca="false">COUNTIFS(Matrix!$D$2:$D$334,$A4,Matrix!$F$2:$F$334,D$3)</f>
        <v>0</v>
      </c>
      <c r="E4" s="5" t="n">
        <f aca="false">SUM(B4:D4)</f>
        <v>17</v>
      </c>
    </row>
    <row r="5" customFormat="false" ht="15" hidden="false" customHeight="false" outlineLevel="0" collapsed="false">
      <c r="A5" s="5" t="s">
        <v>62</v>
      </c>
      <c r="B5" s="5" t="n">
        <f aca="false">COUNTIFS(Matrix!$D$2:$D$334,$A5,Matrix!$F$2:$F$334,B$3)</f>
        <v>9</v>
      </c>
      <c r="C5" s="5" t="n">
        <f aca="false">COUNTIFS(Matrix!$D$2:$D$334,$A5,Matrix!$F$2:$F$334,C$3)</f>
        <v>9</v>
      </c>
      <c r="D5" s="5" t="n">
        <f aca="false">COUNTIFS(Matrix!$D$2:$D$334,$A5,Matrix!$F$2:$F$334,D$3)</f>
        <v>0</v>
      </c>
      <c r="E5" s="5" t="n">
        <f aca="false">SUM(B5:D5)</f>
        <v>18</v>
      </c>
    </row>
    <row r="6" customFormat="false" ht="15" hidden="false" customHeight="false" outlineLevel="0" collapsed="false">
      <c r="A6" s="5" t="s">
        <v>110</v>
      </c>
      <c r="B6" s="5" t="n">
        <f aca="false">COUNTIFS(Matrix!$D$2:$D$334,$A6,Matrix!$F$2:$F$334,B$3)</f>
        <v>0</v>
      </c>
      <c r="C6" s="5" t="n">
        <f aca="false">COUNTIFS(Matrix!$D$2:$D$334,$A6,Matrix!$F$2:$F$334,C$3)</f>
        <v>8</v>
      </c>
      <c r="D6" s="5" t="n">
        <f aca="false">COUNTIFS(Matrix!$D$2:$D$334,$A6,Matrix!$F$2:$F$334,D$3)</f>
        <v>6</v>
      </c>
      <c r="E6" s="5" t="n">
        <f aca="false">SUM(B6:D6)</f>
        <v>14</v>
      </c>
    </row>
    <row r="7" customFormat="false" ht="15" hidden="false" customHeight="false" outlineLevel="0" collapsed="false">
      <c r="A7" s="5" t="s">
        <v>147</v>
      </c>
      <c r="B7" s="5" t="n">
        <f aca="false">COUNTIFS(Matrix!$D$2:$D$334,$A7,Matrix!$F$2:$F$334,B$3)</f>
        <v>5</v>
      </c>
      <c r="C7" s="5" t="n">
        <f aca="false">COUNTIFS(Matrix!$D$2:$D$334,$A7,Matrix!$F$2:$F$334,C$3)</f>
        <v>10</v>
      </c>
      <c r="D7" s="5" t="n">
        <f aca="false">COUNTIFS(Matrix!$D$2:$D$334,$A7,Matrix!$F$2:$F$334,D$3)</f>
        <v>1</v>
      </c>
      <c r="E7" s="5" t="n">
        <f aca="false">SUM(B7:D7)</f>
        <v>16</v>
      </c>
    </row>
    <row r="8" customFormat="false" ht="15" hidden="false" customHeight="false" outlineLevel="0" collapsed="false">
      <c r="A8" s="5" t="s">
        <v>153</v>
      </c>
      <c r="B8" s="5" t="n">
        <f aca="false">COUNTIFS(Matrix!$D$2:$D$334,$A8,Matrix!$F$2:$F$334,B$3)</f>
        <v>14</v>
      </c>
      <c r="C8" s="5" t="n">
        <f aca="false">COUNTIFS(Matrix!$D$2:$D$334,$A8,Matrix!$F$2:$F$334,C$3)</f>
        <v>7</v>
      </c>
      <c r="D8" s="5" t="n">
        <f aca="false">COUNTIFS(Matrix!$D$2:$D$334,$A8,Matrix!$F$2:$F$334,D$3)</f>
        <v>1</v>
      </c>
      <c r="E8" s="5" t="n">
        <f aca="false">SUM(B8:D8)</f>
        <v>22</v>
      </c>
    </row>
    <row r="9" customFormat="false" ht="15" hidden="false" customHeight="false" outlineLevel="0" collapsed="false">
      <c r="A9" s="5" t="s">
        <v>159</v>
      </c>
      <c r="B9" s="5" t="n">
        <f aca="false">COUNTIFS(Matrix!$D$2:$D$334,$A9,Matrix!$F$2:$F$334,B$3)</f>
        <v>1</v>
      </c>
      <c r="C9" s="5" t="n">
        <f aca="false">COUNTIFS(Matrix!$D$2:$D$334,$A9,Matrix!$F$2:$F$334,C$3)</f>
        <v>3</v>
      </c>
      <c r="D9" s="5" t="n">
        <f aca="false">COUNTIFS(Matrix!$D$2:$D$334,$A9,Matrix!$F$2:$F$334,D$3)</f>
        <v>8</v>
      </c>
      <c r="E9" s="5" t="n">
        <f aca="false">SUM(B9:D9)</f>
        <v>12</v>
      </c>
    </row>
    <row r="10" customFormat="false" ht="15" hidden="false" customHeight="false" outlineLevel="0" collapsed="false">
      <c r="A10" s="5" t="s">
        <v>165</v>
      </c>
      <c r="B10" s="5" t="n">
        <f aca="false">COUNTIFS(Matrix!$D$2:$D$334,$A10,Matrix!$F$2:$F$334,B$3)</f>
        <v>10</v>
      </c>
      <c r="C10" s="5" t="n">
        <f aca="false">COUNTIFS(Matrix!$D$2:$D$334,$A10,Matrix!$F$2:$F$334,C$3)</f>
        <v>9</v>
      </c>
      <c r="D10" s="5" t="n">
        <f aca="false">COUNTIFS(Matrix!$D$2:$D$334,$A10,Matrix!$F$2:$F$334,D$3)</f>
        <v>4</v>
      </c>
      <c r="E10" s="5" t="n">
        <f aca="false">SUM(B10:D10)</f>
        <v>23</v>
      </c>
    </row>
    <row r="11" customFormat="false" ht="15" hidden="false" customHeight="false" outlineLevel="0" collapsed="false">
      <c r="A11" s="5" t="s">
        <v>170</v>
      </c>
      <c r="B11" s="5" t="n">
        <f aca="false">COUNTIFS(Matrix!$D$2:$D$334,$A11,Matrix!$F$2:$F$334,B$3)</f>
        <v>0</v>
      </c>
      <c r="C11" s="5" t="n">
        <f aca="false">COUNTIFS(Matrix!$D$2:$D$334,$A11,Matrix!$F$2:$F$334,C$3)</f>
        <v>5</v>
      </c>
      <c r="D11" s="5" t="n">
        <f aca="false">COUNTIFS(Matrix!$D$2:$D$334,$A11,Matrix!$F$2:$F$334,D$3)</f>
        <v>9</v>
      </c>
      <c r="E11" s="5" t="n">
        <f aca="false">SUM(B11:D11)</f>
        <v>14</v>
      </c>
    </row>
    <row r="12" customFormat="false" ht="15" hidden="false" customHeight="false" outlineLevel="0" collapsed="false">
      <c r="A12" s="5" t="s">
        <v>177</v>
      </c>
      <c r="B12" s="5" t="n">
        <f aca="false">COUNTIFS(Matrix!$D$2:$D$334,$A12,Matrix!$F$2:$F$334,B$3)</f>
        <v>1</v>
      </c>
      <c r="C12" s="5" t="n">
        <f aca="false">COUNTIFS(Matrix!$D$2:$D$334,$A12,Matrix!$F$2:$F$334,C$3)</f>
        <v>7</v>
      </c>
      <c r="D12" s="5" t="n">
        <f aca="false">COUNTIFS(Matrix!$D$2:$D$334,$A12,Matrix!$F$2:$F$334,D$3)</f>
        <v>8</v>
      </c>
      <c r="E12" s="5" t="n">
        <f aca="false">SUM(B12:D12)</f>
        <v>16</v>
      </c>
    </row>
    <row r="13" customFormat="false" ht="15" hidden="false" customHeight="false" outlineLevel="0" collapsed="false">
      <c r="A13" s="5" t="s">
        <v>315</v>
      </c>
      <c r="B13" s="5" t="n">
        <f aca="false">COUNTIFS(Matrix!$D$2:$D$334,$A13,Matrix!$F$2:$F$334,B$3)</f>
        <v>6</v>
      </c>
      <c r="C13" s="5" t="n">
        <f aca="false">COUNTIFS(Matrix!$D$2:$D$334,$A13,Matrix!$F$2:$F$334,C$3)</f>
        <v>10</v>
      </c>
      <c r="D13" s="5" t="n">
        <f aca="false">COUNTIFS(Matrix!$D$2:$D$334,$A13,Matrix!$F$2:$F$334,D$3)</f>
        <v>6</v>
      </c>
      <c r="E13" s="5" t="n">
        <f aca="false">SUM(B13:D13)</f>
        <v>22</v>
      </c>
    </row>
    <row r="14" customFormat="false" ht="15" hidden="false" customHeight="false" outlineLevel="0" collapsed="false">
      <c r="A14" s="5" t="s">
        <v>371</v>
      </c>
      <c r="B14" s="5" t="n">
        <f aca="false">COUNTIFS(Matrix!$D$2:$D$334,$A14,Matrix!$F$2:$F$334,B$3)</f>
        <v>7</v>
      </c>
      <c r="C14" s="5" t="n">
        <f aca="false">COUNTIFS(Matrix!$D$2:$D$334,$A14,Matrix!$F$2:$F$334,C$3)</f>
        <v>6</v>
      </c>
      <c r="D14" s="5" t="n">
        <f aca="false">COUNTIFS(Matrix!$D$2:$D$334,$A14,Matrix!$F$2:$F$334,D$3)</f>
        <v>6</v>
      </c>
      <c r="E14" s="5" t="n">
        <f aca="false">SUM(B14:D14)</f>
        <v>19</v>
      </c>
    </row>
    <row r="15" customFormat="false" ht="15" hidden="false" customHeight="false" outlineLevel="0" collapsed="false">
      <c r="A15" s="5" t="s">
        <v>503</v>
      </c>
      <c r="B15" s="5" t="n">
        <f aca="false">COUNTIFS(Matrix!$D$2:$D$334,$A15,Matrix!$F$2:$F$334,B$3)</f>
        <v>0</v>
      </c>
      <c r="C15" s="5" t="n">
        <f aca="false">COUNTIFS(Matrix!$D$2:$D$334,$A15,Matrix!$F$2:$F$334,C$3)</f>
        <v>9</v>
      </c>
      <c r="D15" s="5" t="n">
        <f aca="false">COUNTIFS(Matrix!$D$2:$D$334,$A15,Matrix!$F$2:$F$334,D$3)</f>
        <v>4</v>
      </c>
      <c r="E15" s="5" t="n">
        <f aca="false">SUM(B15:D15)</f>
        <v>13</v>
      </c>
    </row>
    <row r="16" customFormat="false" ht="15" hidden="false" customHeight="false" outlineLevel="0" collapsed="false">
      <c r="A16" s="5" t="s">
        <v>533</v>
      </c>
      <c r="B16" s="5" t="n">
        <f aca="false">COUNTIFS(Matrix!$D$2:$D$334,$A16,Matrix!$F$2:$F$334,B$3)</f>
        <v>5</v>
      </c>
      <c r="C16" s="5" t="n">
        <f aca="false">COUNTIFS(Matrix!$D$2:$D$334,$A16,Matrix!$F$2:$F$334,C$3)</f>
        <v>7</v>
      </c>
      <c r="D16" s="5" t="n">
        <f aca="false">COUNTIFS(Matrix!$D$2:$D$334,$A16,Matrix!$F$2:$F$334,D$3)</f>
        <v>0</v>
      </c>
      <c r="E16" s="5" t="n">
        <f aca="false">SUM(B16:D16)</f>
        <v>12</v>
      </c>
    </row>
    <row r="17" customFormat="false" ht="15" hidden="false" customHeight="false" outlineLevel="0" collapsed="false">
      <c r="A17" s="5" t="s">
        <v>561</v>
      </c>
      <c r="B17" s="5" t="n">
        <f aca="false">COUNTIFS(Matrix!$D$2:$D$334,$A17,Matrix!$F$2:$F$334,B$3)</f>
        <v>2</v>
      </c>
      <c r="C17" s="5" t="n">
        <f aca="false">COUNTIFS(Matrix!$D$2:$D$334,$A17,Matrix!$F$2:$F$334,C$3)</f>
        <v>4</v>
      </c>
      <c r="D17" s="5" t="n">
        <f aca="false">COUNTIFS(Matrix!$D$2:$D$334,$A17,Matrix!$F$2:$F$334,D$3)</f>
        <v>6</v>
      </c>
      <c r="E17" s="5" t="n">
        <f aca="false">SUM(B17:D17)</f>
        <v>12</v>
      </c>
    </row>
    <row r="18" customFormat="false" ht="15" hidden="false" customHeight="false" outlineLevel="0" collapsed="false">
      <c r="A18" s="5" t="s">
        <v>590</v>
      </c>
      <c r="B18" s="5" t="n">
        <f aca="false">COUNTIFS(Matrix!$D$2:$D$334,$A18,Matrix!$F$2:$F$334,B$3)</f>
        <v>2</v>
      </c>
      <c r="C18" s="5" t="n">
        <f aca="false">COUNTIFS(Matrix!$D$2:$D$334,$A18,Matrix!$F$2:$F$334,C$3)</f>
        <v>4</v>
      </c>
      <c r="D18" s="5" t="n">
        <f aca="false">COUNTIFS(Matrix!$D$2:$D$334,$A18,Matrix!$F$2:$F$334,D$3)</f>
        <v>6</v>
      </c>
      <c r="E18" s="5" t="n">
        <f aca="false">SUM(B18:D18)</f>
        <v>12</v>
      </c>
    </row>
    <row r="19" customFormat="false" ht="15" hidden="false" customHeight="false" outlineLevel="0" collapsed="false">
      <c r="A19" s="5" t="s">
        <v>618</v>
      </c>
      <c r="B19" s="5" t="n">
        <f aca="false">COUNTIFS(Matrix!$D$2:$D$334,$A19,Matrix!$F$2:$F$334,B$3)</f>
        <v>7</v>
      </c>
      <c r="C19" s="5" t="n">
        <f aca="false">COUNTIFS(Matrix!$D$2:$D$334,$A19,Matrix!$F$2:$F$334,C$3)</f>
        <v>4</v>
      </c>
      <c r="D19" s="5" t="n">
        <f aca="false">COUNTIFS(Matrix!$D$2:$D$334,$A19,Matrix!$F$2:$F$334,D$3)</f>
        <v>1</v>
      </c>
      <c r="E19" s="5" t="n">
        <f aca="false">SUM(B19:D19)</f>
        <v>12</v>
      </c>
    </row>
    <row r="20" customFormat="false" ht="15" hidden="false" customHeight="false" outlineLevel="0" collapsed="false">
      <c r="A20" s="5" t="s">
        <v>645</v>
      </c>
      <c r="B20" s="5" t="n">
        <f aca="false">COUNTIFS(Matrix!$D$2:$D$334,$A20,Matrix!$F$2:$F$334,B$3)</f>
        <v>12</v>
      </c>
      <c r="C20" s="5" t="n">
        <f aca="false">COUNTIFS(Matrix!$D$2:$D$334,$A20,Matrix!$F$2:$F$334,C$3)</f>
        <v>5</v>
      </c>
      <c r="D20" s="5" t="n">
        <f aca="false">COUNTIFS(Matrix!$D$2:$D$334,$A20,Matrix!$F$2:$F$334,D$3)</f>
        <v>0</v>
      </c>
      <c r="E20" s="5" t="n">
        <f aca="false">SUM(B20:D20)</f>
        <v>17</v>
      </c>
    </row>
    <row r="21" customFormat="false" ht="15" hidden="false" customHeight="false" outlineLevel="0" collapsed="false">
      <c r="A21" s="5" t="s">
        <v>693</v>
      </c>
      <c r="B21" s="5" t="n">
        <f aca="false">COUNTIFS(Matrix!$D$2:$D$334,$A21,Matrix!$F$2:$F$334,B$3)</f>
        <v>7</v>
      </c>
      <c r="C21" s="5" t="n">
        <f aca="false">COUNTIFS(Matrix!$D$2:$D$334,$A21,Matrix!$F$2:$F$334,C$3)</f>
        <v>5</v>
      </c>
      <c r="D21" s="5" t="n">
        <f aca="false">COUNTIFS(Matrix!$D$2:$D$334,$A21,Matrix!$F$2:$F$334,D$3)</f>
        <v>2</v>
      </c>
      <c r="E21" s="5" t="n">
        <f aca="false">SUM(B21:D21)</f>
        <v>14</v>
      </c>
    </row>
    <row r="22" customFormat="false" ht="15" hidden="false" customHeight="false" outlineLevel="0" collapsed="false">
      <c r="A22" s="5" t="s">
        <v>731</v>
      </c>
      <c r="B22" s="5" t="n">
        <f aca="false">COUNTIFS(Matrix!$D$2:$D$334,$A22,Matrix!$F$2:$F$334,B$3)</f>
        <v>12</v>
      </c>
      <c r="C22" s="5" t="n">
        <f aca="false">COUNTIFS(Matrix!$D$2:$D$334,$A22,Matrix!$F$2:$F$334,C$3)</f>
        <v>4</v>
      </c>
      <c r="D22" s="5" t="n">
        <f aca="false">COUNTIFS(Matrix!$D$2:$D$334,$A22,Matrix!$F$2:$F$334,D$3)</f>
        <v>1</v>
      </c>
      <c r="E22" s="5" t="n">
        <f aca="false">SUM(B22:D22)</f>
        <v>17</v>
      </c>
    </row>
    <row r="23" customFormat="false" ht="15" hidden="false" customHeight="false" outlineLevel="0" collapsed="false">
      <c r="A23" s="5" t="s">
        <v>775</v>
      </c>
      <c r="B23" s="5" t="n">
        <f aca="false">COUNTIFS(Matrix!$D$2:$D$334,$A23,Matrix!$F$2:$F$334,B$3)</f>
        <v>6</v>
      </c>
      <c r="C23" s="5" t="n">
        <f aca="false">COUNTIFS(Matrix!$D$2:$D$334,$A23,Matrix!$F$2:$F$334,C$3)</f>
        <v>3</v>
      </c>
      <c r="D23" s="5" t="n">
        <f aca="false">COUNTIFS(Matrix!$D$2:$D$334,$A23,Matrix!$F$2:$F$334,D$3)</f>
        <v>0</v>
      </c>
      <c r="E23" s="5" t="n">
        <f aca="false">SUM(B23:D23)</f>
        <v>9</v>
      </c>
    </row>
    <row r="24" customFormat="false" ht="15" hidden="false" customHeight="false" outlineLevel="0" collapsed="false">
      <c r="A24" s="5" t="s">
        <v>795</v>
      </c>
      <c r="B24" s="5" t="n">
        <f aca="false">COUNTIFS(Matrix!$D$2:$D$334,$A24,Matrix!$F$2:$F$334,B$3)</f>
        <v>13</v>
      </c>
      <c r="C24" s="5" t="n">
        <f aca="false">COUNTIFS(Matrix!$D$2:$D$334,$A24,Matrix!$F$2:$F$334,C$3)</f>
        <v>5</v>
      </c>
      <c r="D24" s="5" t="n">
        <f aca="false">COUNTIFS(Matrix!$D$2:$D$334,$A24,Matrix!$F$2:$F$334,D$3)</f>
        <v>1</v>
      </c>
      <c r="E24" s="5" t="n">
        <f aca="false">SUM(B24:D24)</f>
        <v>19</v>
      </c>
    </row>
    <row r="25" customFormat="false" ht="15" hidden="false" customHeight="false" outlineLevel="0" collapsed="false">
      <c r="A25" s="5" t="s">
        <v>840</v>
      </c>
      <c r="B25" s="5" t="n">
        <f aca="false">COUNTIFS(Matrix!$D$2:$D$334,$A25,Matrix!$F$2:$F$334,B$3)</f>
        <v>1</v>
      </c>
      <c r="C25" s="5" t="n">
        <f aca="false">COUNTIFS(Matrix!$D$2:$D$334,$A25,Matrix!$F$2:$F$334,C$3)</f>
        <v>2</v>
      </c>
      <c r="D25" s="5" t="n">
        <f aca="false">COUNTIFS(Matrix!$D$2:$D$334,$A25,Matrix!$F$2:$F$334,D$3)</f>
        <v>0</v>
      </c>
      <c r="E25" s="5" t="n">
        <f aca="false">SUM(B25:D25)</f>
        <v>3</v>
      </c>
    </row>
    <row r="26" customFormat="false" ht="15" hidden="false" customHeight="false" outlineLevel="0" collapsed="false">
      <c r="A26" s="6" t="s">
        <v>846</v>
      </c>
      <c r="B26" s="6" t="n">
        <f aca="false">SUM(B4:B25)</f>
        <v>128</v>
      </c>
      <c r="C26" s="6" t="n">
        <f aca="false">SUM(C4:C25)</f>
        <v>135</v>
      </c>
      <c r="D26" s="6" t="n">
        <f aca="false">SUM(D4:D25)</f>
        <v>70</v>
      </c>
      <c r="E26" s="6" t="n">
        <f aca="false">SUM(E4:E25)</f>
        <v>333</v>
      </c>
    </row>
    <row r="28" customFormat="false" ht="15" hidden="false" customHeight="false" outlineLevel="0" collapsed="false">
      <c r="A28" s="3" t="s">
        <v>847</v>
      </c>
    </row>
    <row r="29" customFormat="false" ht="15" hidden="false" customHeight="false" outlineLevel="0" collapsed="false">
      <c r="A29" s="4" t="s">
        <v>6</v>
      </c>
      <c r="B29" s="4" t="s">
        <v>11</v>
      </c>
      <c r="C29" s="4" t="s">
        <v>34</v>
      </c>
      <c r="D29" s="4" t="s">
        <v>111</v>
      </c>
      <c r="E29" s="4" t="s">
        <v>846</v>
      </c>
    </row>
    <row r="30" customFormat="false" ht="15" hidden="false" customHeight="false" outlineLevel="0" collapsed="false">
      <c r="A30" s="7" t="s">
        <v>12</v>
      </c>
      <c r="B30" s="5" t="n">
        <f aca="false">COUNTIFS(Matrix!$G$2:$G$334,$A30,Matrix!$F$2:$F$334,B$29)</f>
        <v>69</v>
      </c>
      <c r="C30" s="5" t="n">
        <f aca="false">COUNTIFS(Matrix!$G$2:$G$334,$A30,Matrix!$F$2:$F$334,C$29)</f>
        <v>28</v>
      </c>
      <c r="D30" s="5" t="n">
        <f aca="false">COUNTIFS(Matrix!$G$2:$G$334,$A30,Matrix!$F$2:$F$334,D$29)</f>
        <v>0</v>
      </c>
      <c r="E30" s="5" t="n">
        <f aca="false">SUM(B30:D30)</f>
        <v>97</v>
      </c>
    </row>
    <row r="31" customFormat="false" ht="15" hidden="false" customHeight="false" outlineLevel="0" collapsed="false">
      <c r="A31" s="7" t="s">
        <v>64</v>
      </c>
      <c r="B31" s="5" t="n">
        <f aca="false">COUNTIFS(Matrix!$G$2:$G$334,$A31,Matrix!$F$2:$F$334,B$29)</f>
        <v>15</v>
      </c>
      <c r="C31" s="5" t="n">
        <f aca="false">COUNTIFS(Matrix!$G$2:$G$334,$A31,Matrix!$F$2:$F$334,C$29)</f>
        <v>21</v>
      </c>
      <c r="D31" s="5" t="n">
        <f aca="false">COUNTIFS(Matrix!$G$2:$G$334,$A31,Matrix!$F$2:$F$334,D$29)</f>
        <v>1</v>
      </c>
      <c r="E31" s="5" t="n">
        <f aca="false">SUM(B31:D31)</f>
        <v>37</v>
      </c>
    </row>
    <row r="32" customFormat="false" ht="15" hidden="false" customHeight="false" outlineLevel="0" collapsed="false">
      <c r="A32" s="7" t="s">
        <v>22</v>
      </c>
      <c r="B32" s="5" t="n">
        <f aca="false">COUNTIFS(Matrix!$G$2:$G$334,$A32,Matrix!$F$2:$F$334,B$29)</f>
        <v>28</v>
      </c>
      <c r="C32" s="5" t="n">
        <f aca="false">COUNTIFS(Matrix!$G$2:$G$334,$A32,Matrix!$F$2:$F$334,C$29)</f>
        <v>48</v>
      </c>
      <c r="D32" s="5" t="n">
        <f aca="false">COUNTIFS(Matrix!$G$2:$G$334,$A32,Matrix!$F$2:$F$334,D$29)</f>
        <v>0</v>
      </c>
      <c r="E32" s="5" t="n">
        <f aca="false">SUM(B32:D32)</f>
        <v>76</v>
      </c>
    </row>
    <row r="33" customFormat="false" ht="15" hidden="false" customHeight="false" outlineLevel="0" collapsed="false">
      <c r="A33" s="7" t="s">
        <v>117</v>
      </c>
      <c r="B33" s="5" t="n">
        <f aca="false">COUNTIFS(Matrix!$G$2:$G$334,$A33,Matrix!$F$2:$F$334,B$29)</f>
        <v>16</v>
      </c>
      <c r="C33" s="5" t="n">
        <f aca="false">COUNTIFS(Matrix!$G$2:$G$334,$A33,Matrix!$F$2:$F$334,C$29)</f>
        <v>36</v>
      </c>
      <c r="D33" s="5" t="n">
        <f aca="false">COUNTIFS(Matrix!$G$2:$G$334,$A33,Matrix!$F$2:$F$334,D$29)</f>
        <v>0</v>
      </c>
      <c r="E33" s="5" t="n">
        <f aca="false">SUM(B33:D33)</f>
        <v>52</v>
      </c>
    </row>
    <row r="34" customFormat="false" ht="15" hidden="false" customHeight="false" outlineLevel="0" collapsed="false">
      <c r="A34" s="7" t="s">
        <v>59</v>
      </c>
      <c r="B34" s="5" t="n">
        <f aca="false">COUNTIFS(Matrix!$G$2:$G$334,$A34,Matrix!$F$2:$F$334,B$29)</f>
        <v>0</v>
      </c>
      <c r="C34" s="5" t="n">
        <f aca="false">COUNTIFS(Matrix!$G$2:$G$334,$A34,Matrix!$F$2:$F$334,C$29)</f>
        <v>2</v>
      </c>
      <c r="D34" s="5" t="n">
        <f aca="false">COUNTIFS(Matrix!$G$2:$G$334,$A34,Matrix!$F$2:$F$334,D$29)</f>
        <v>69</v>
      </c>
      <c r="E34" s="5" t="n">
        <f aca="false">SUM(B34:D34)</f>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0"/>
  </cols>
  <sheetData>
    <row r="1" customFormat="false" ht="15" hidden="false" customHeight="false" outlineLevel="0" collapsed="false">
      <c r="A1" s="8" t="s">
        <v>848</v>
      </c>
      <c r="B1" s="8" t="s">
        <v>849</v>
      </c>
    </row>
    <row r="2" customFormat="false" ht="15" hidden="false" customHeight="false" outlineLevel="0" collapsed="false">
      <c r="A2" s="9" t="s">
        <v>5</v>
      </c>
      <c r="B2" s="9" t="s">
        <v>850</v>
      </c>
    </row>
    <row r="3" customFormat="false" ht="23.85" hidden="false" customHeight="false" outlineLevel="0" collapsed="false">
      <c r="A3" s="9" t="s">
        <v>6</v>
      </c>
      <c r="B3" s="9" t="s">
        <v>851</v>
      </c>
    </row>
    <row r="4" customFormat="false" ht="15" hidden="false" customHeight="false" outlineLevel="0" collapsed="false">
      <c r="A4" s="9" t="s">
        <v>10</v>
      </c>
      <c r="B4" s="9" t="s">
        <v>852</v>
      </c>
    </row>
    <row r="5" customFormat="false" ht="15" hidden="false" customHeight="false" outlineLevel="0" collapsed="false">
      <c r="A5" s="9" t="s">
        <v>21</v>
      </c>
      <c r="B5" s="9" t="s">
        <v>853</v>
      </c>
    </row>
    <row r="6" customFormat="false" ht="15" hidden="false" customHeight="false" outlineLevel="0" collapsed="false">
      <c r="A6" s="9" t="s">
        <v>63</v>
      </c>
      <c r="B6" s="9" t="s">
        <v>854</v>
      </c>
    </row>
    <row r="7" customFormat="false" ht="15" hidden="false" customHeight="false" outlineLevel="0" collapsed="false">
      <c r="A7" s="9" t="s">
        <v>73</v>
      </c>
      <c r="B7" s="9" t="s">
        <v>855</v>
      </c>
    </row>
    <row r="8" customFormat="false" ht="15" hidden="false" customHeight="false" outlineLevel="0" collapsed="false">
      <c r="A8" s="9" t="s">
        <v>30</v>
      </c>
      <c r="B8" s="9" t="s">
        <v>856</v>
      </c>
    </row>
    <row r="9" customFormat="false" ht="15" hidden="false" customHeight="false" outlineLevel="0" collapsed="false">
      <c r="A9" s="9" t="s">
        <v>58</v>
      </c>
      <c r="B9" s="9" t="s">
        <v>857</v>
      </c>
    </row>
    <row r="10" customFormat="false" ht="15" hidden="false" customHeight="false" outlineLevel="0" collapsed="false">
      <c r="A10" s="9" t="s">
        <v>439</v>
      </c>
      <c r="B10" s="9" t="s">
        <v>858</v>
      </c>
    </row>
    <row r="11" customFormat="false" ht="23.85" hidden="false" customHeight="false" outlineLevel="0" collapsed="false">
      <c r="A11" s="9" t="s">
        <v>859</v>
      </c>
      <c r="B11" s="9" t="s">
        <v>860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2026-09-28T02:32:40Z</dcterms:created>
  <dc:creator>openpyxl</dc:creator>
  <dc:description/>
  <dc:language>en-US</dc:language>
  <cp:lastModifiedBy/>
  <dcterms:modified xsi:type="dcterms:W3CDTF">2026-09-28T02:32:40Z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